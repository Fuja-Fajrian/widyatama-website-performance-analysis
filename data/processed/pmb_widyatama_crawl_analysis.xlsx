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Documents\GitHub\widyatama-website-performance-analysis\data\raw\"/>
    </mc:Choice>
  </mc:AlternateContent>
  <xr:revisionPtr revIDLastSave="0" documentId="13_ncr:1_{0F7D900A-6A0C-4571-91E8-2F1014651ABD}" xr6:coauthVersionLast="47" xr6:coauthVersionMax="47" xr10:uidLastSave="{00000000-0000-0000-0000-000000000000}"/>
  <bookViews>
    <workbookView xWindow="11424" yWindow="0" windowWidth="11712" windowHeight="13056" firstSheet="12" activeTab="12" xr2:uid="{AECB33E2-0AE8-4166-9F48-D79767E183A4}"/>
  </bookViews>
  <sheets>
    <sheet name="RAW_CRAWL" sheetId="1" r:id="rId1"/>
    <sheet name="DATA_PROFILE" sheetId="2" r:id="rId2"/>
    <sheet name="CALC_HELPER" sheetId="3" r:id="rId3"/>
    <sheet name="DASHBOARD_EXCEL" sheetId="4" r:id="rId4"/>
    <sheet name="PAGE_INVENTORY" sheetId="5" r:id="rId5"/>
    <sheet name="FINAL_PAGE_INVENTORY" sheetId="6" r:id="rId6"/>
    <sheet name="BASELINE_PAGE_INVENTORY" sheetId="7" r:id="rId7"/>
    <sheet name="PAGESPEED_INPUT" sheetId="8" r:id="rId8"/>
    <sheet name="PAGESPEED_INPUT_STATIC" sheetId="9" r:id="rId9"/>
    <sheet name="PAGESPEED_RAW" sheetId="14" r:id="rId10"/>
    <sheet name="PAGESPEED_ANALYSIS_BASELINE" sheetId="10" r:id="rId11"/>
    <sheet name="WEBSITE_PERFORMANCE_DASHBOARD" sheetId="13" r:id="rId12"/>
    <sheet name="ROOT_CAUSE_TARGETS" sheetId="15" r:id="rId13"/>
  </sheets>
  <definedNames>
    <definedName name="ExternalData_1" localSheetId="9" hidden="1">PAGESPEED_RAW!$A$1:$R$175</definedName>
  </definedNames>
  <calcPr calcId="191029"/>
  <pivotCaches>
    <pivotCache cacheId="0"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5" l="1"/>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2" i="15"/>
  <c r="I3" i="15" a="1"/>
  <c r="I4" i="15" a="1"/>
  <c r="I5" i="15" a="1"/>
  <c r="I6" i="15" a="1"/>
  <c r="I7" i="15" a="1"/>
  <c r="I8" i="15" a="1"/>
  <c r="I9" i="15" a="1"/>
  <c r="I10" i="15" a="1"/>
  <c r="I11" i="15" a="1"/>
  <c r="I12" i="15" a="1"/>
  <c r="I13" i="15" a="1"/>
  <c r="I14" i="15" a="1"/>
  <c r="I15" i="15" a="1"/>
  <c r="I16" i="15" a="1"/>
  <c r="I17" i="15" a="1"/>
  <c r="I18" i="15" a="1"/>
  <c r="I19" i="15" a="1"/>
  <c r="I20" i="15" a="1"/>
  <c r="I21" i="15" a="1"/>
  <c r="I22" i="15" a="1"/>
  <c r="I23" i="15" a="1"/>
  <c r="I24" i="15" a="1"/>
  <c r="I25" i="15" a="1"/>
  <c r="I26" i="15" a="1"/>
  <c r="I27" i="15" a="1"/>
  <c r="I28" i="15" a="1"/>
  <c r="I29" i="15" a="1"/>
  <c r="I30" i="15" a="1"/>
  <c r="I31" i="15" a="1"/>
  <c r="I32" i="15" a="1"/>
  <c r="I33" i="15" a="1"/>
  <c r="I34" i="15" a="1"/>
  <c r="I35" i="15" a="1"/>
  <c r="I36" i="15" a="1"/>
  <c r="I37" i="15" a="1"/>
  <c r="I38" i="15" a="1"/>
  <c r="I39" i="15" a="1"/>
  <c r="I40" i="15" a="1"/>
  <c r="I41" i="15" a="1"/>
  <c r="I42" i="15" a="1"/>
  <c r="I43" i="15" a="1"/>
  <c r="I44" i="15" a="1"/>
  <c r="I2" i="15" a="1"/>
  <c r="H2" i="15" a="1"/>
  <c r="G2" i="15" a="1"/>
  <c r="F2" i="15" a="1"/>
  <c r="E2" i="15" a="1"/>
  <c r="D2" i="15" a="1"/>
  <c r="C2" i="15" a="1"/>
  <c r="B2" i="15" a="1"/>
  <c r="A2" i="15" a="1"/>
  <c r="E20" i="13"/>
  <c r="E19" i="13"/>
  <c r="E18" i="13"/>
  <c r="B21" i="13"/>
  <c r="B20" i="13"/>
  <c r="B19" i="13"/>
  <c r="B18" i="13"/>
  <c r="B14" i="13"/>
  <c r="B13" i="13"/>
  <c r="B7" i="13"/>
  <c r="B6" i="13"/>
  <c r="B5" i="13"/>
  <c r="B4" i="13"/>
  <c r="B3" i="13"/>
  <c r="B2" i="13"/>
  <c r="Y3" i="10"/>
  <c r="Y4" i="10"/>
  <c r="Y5" i="10"/>
  <c r="Y6" i="10"/>
  <c r="Y7" i="10"/>
  <c r="Y8" i="10"/>
  <c r="Y9" i="10"/>
  <c r="Y10" i="10"/>
  <c r="Y11" i="10"/>
  <c r="Y12" i="10"/>
  <c r="Y13" i="10"/>
  <c r="Y14" i="10"/>
  <c r="Y15" i="10"/>
  <c r="Y16" i="10"/>
  <c r="Y17" i="10"/>
  <c r="Y18" i="10"/>
  <c r="Y19" i="10"/>
  <c r="Y20" i="10"/>
  <c r="Y21" i="10"/>
  <c r="Y22" i="10"/>
  <c r="Y23" i="10"/>
  <c r="Y24" i="10"/>
  <c r="Y25" i="10"/>
  <c r="Y26" i="10"/>
  <c r="Y27" i="10"/>
  <c r="Y28" i="10"/>
  <c r="Y29" i="10"/>
  <c r="Y30" i="10"/>
  <c r="Y31" i="10"/>
  <c r="Y32" i="10"/>
  <c r="Y33" i="10"/>
  <c r="Y34" i="10"/>
  <c r="Y35" i="10"/>
  <c r="Y36" i="10"/>
  <c r="Y37" i="10"/>
  <c r="Y38" i="10"/>
  <c r="Y39" i="10"/>
  <c r="Y40" i="10"/>
  <c r="Y41" i="10"/>
  <c r="Y42" i="10"/>
  <c r="Y43" i="10"/>
  <c r="Y44" i="10"/>
  <c r="Y45" i="10"/>
  <c r="Y46" i="10"/>
  <c r="Y47" i="10"/>
  <c r="Y48" i="10"/>
  <c r="Y49" i="10"/>
  <c r="Y50" i="10"/>
  <c r="Y51" i="10"/>
  <c r="Y52" i="10"/>
  <c r="Y53" i="10"/>
  <c r="Y54" i="10"/>
  <c r="Y55" i="10"/>
  <c r="Y56" i="10"/>
  <c r="Y57" i="10"/>
  <c r="Y58" i="10"/>
  <c r="Y59" i="10"/>
  <c r="Y60" i="10"/>
  <c r="Y61" i="10"/>
  <c r="Y62" i="10"/>
  <c r="Y63" i="10"/>
  <c r="Y64" i="10"/>
  <c r="Y65" i="10"/>
  <c r="Y66" i="10"/>
  <c r="Y67" i="10"/>
  <c r="Y68" i="10"/>
  <c r="Y69" i="10"/>
  <c r="Y70" i="10"/>
  <c r="Y71" i="10"/>
  <c r="Y72" i="10"/>
  <c r="Y73" i="10"/>
  <c r="Y74" i="10"/>
  <c r="Y75" i="10"/>
  <c r="Y76" i="10"/>
  <c r="Y77" i="10"/>
  <c r="Y78" i="10"/>
  <c r="Y79" i="10"/>
  <c r="Y80" i="10"/>
  <c r="Y81" i="10"/>
  <c r="Y82" i="10"/>
  <c r="Y83" i="10"/>
  <c r="Y84" i="10"/>
  <c r="Y85" i="10"/>
  <c r="Y86" i="10"/>
  <c r="Y87" i="10"/>
  <c r="Y88" i="10"/>
  <c r="S3" i="10"/>
  <c r="T3" i="10"/>
  <c r="U3" i="10"/>
  <c r="V3" i="10"/>
  <c r="W3" i="10"/>
  <c r="S4" i="10"/>
  <c r="T4" i="10"/>
  <c r="U4" i="10"/>
  <c r="W4" i="10" s="1"/>
  <c r="V4" i="10"/>
  <c r="S5" i="10"/>
  <c r="T5" i="10"/>
  <c r="U5" i="10"/>
  <c r="V5" i="10"/>
  <c r="W5" i="10"/>
  <c r="S6" i="10"/>
  <c r="T6" i="10"/>
  <c r="U6" i="10"/>
  <c r="V6" i="10"/>
  <c r="W6" i="10"/>
  <c r="S7" i="10"/>
  <c r="T7" i="10"/>
  <c r="U7" i="10"/>
  <c r="V7" i="10"/>
  <c r="W7" i="10"/>
  <c r="S8" i="10"/>
  <c r="T8" i="10"/>
  <c r="U8" i="10"/>
  <c r="V8" i="10"/>
  <c r="W8" i="10"/>
  <c r="S9" i="10"/>
  <c r="T9" i="10"/>
  <c r="U9" i="10"/>
  <c r="V9" i="10"/>
  <c r="W9" i="10"/>
  <c r="S10" i="10"/>
  <c r="T10" i="10"/>
  <c r="U10" i="10"/>
  <c r="V10" i="10"/>
  <c r="W10" i="10"/>
  <c r="S11" i="10"/>
  <c r="W11" i="10" s="1"/>
  <c r="T11" i="10"/>
  <c r="U11" i="10"/>
  <c r="V11" i="10"/>
  <c r="S12" i="10"/>
  <c r="T12" i="10"/>
  <c r="U12" i="10"/>
  <c r="V12" i="10"/>
  <c r="W12" i="10" s="1"/>
  <c r="S13" i="10"/>
  <c r="T13" i="10"/>
  <c r="U13" i="10"/>
  <c r="V13" i="10"/>
  <c r="W13" i="10"/>
  <c r="S14" i="10"/>
  <c r="T14" i="10"/>
  <c r="U14" i="10"/>
  <c r="W14" i="10" s="1"/>
  <c r="V14" i="10"/>
  <c r="S15" i="10"/>
  <c r="T15" i="10"/>
  <c r="U15" i="10"/>
  <c r="W15" i="10" s="1"/>
  <c r="V15" i="10"/>
  <c r="S16" i="10"/>
  <c r="T16" i="10"/>
  <c r="U16" i="10"/>
  <c r="V16" i="10"/>
  <c r="W16" i="10" s="1"/>
  <c r="S17" i="10"/>
  <c r="W17" i="10" s="1"/>
  <c r="T17" i="10"/>
  <c r="U17" i="10"/>
  <c r="V17" i="10"/>
  <c r="S18" i="10"/>
  <c r="T18" i="10"/>
  <c r="U18" i="10"/>
  <c r="V18" i="10"/>
  <c r="W18" i="10"/>
  <c r="S19" i="10"/>
  <c r="T19" i="10"/>
  <c r="U19" i="10"/>
  <c r="V19" i="10"/>
  <c r="W19" i="10"/>
  <c r="S20" i="10"/>
  <c r="T20" i="10"/>
  <c r="U20" i="10"/>
  <c r="V20" i="10"/>
  <c r="W20" i="10"/>
  <c r="S21" i="10"/>
  <c r="T21" i="10"/>
  <c r="U21" i="10"/>
  <c r="W21" i="10" s="1"/>
  <c r="V21" i="10"/>
  <c r="S22" i="10"/>
  <c r="T22" i="10"/>
  <c r="U22" i="10"/>
  <c r="V22" i="10"/>
  <c r="W22" i="10"/>
  <c r="S23" i="10"/>
  <c r="W23" i="10" s="1"/>
  <c r="T23" i="10"/>
  <c r="U23" i="10"/>
  <c r="V23" i="10"/>
  <c r="S24" i="10"/>
  <c r="T24" i="10"/>
  <c r="U24" i="10"/>
  <c r="V24" i="10"/>
  <c r="W24" i="10"/>
  <c r="S25" i="10"/>
  <c r="T25" i="10"/>
  <c r="W25" i="10" s="1"/>
  <c r="U25" i="10"/>
  <c r="V25" i="10"/>
  <c r="S26" i="10"/>
  <c r="T26" i="10"/>
  <c r="W26" i="10" s="1"/>
  <c r="U26" i="10"/>
  <c r="V26" i="10"/>
  <c r="S27" i="10"/>
  <c r="T27" i="10"/>
  <c r="U27" i="10"/>
  <c r="W27" i="10" s="1"/>
  <c r="V27" i="10"/>
  <c r="S28" i="10"/>
  <c r="T28" i="10"/>
  <c r="U28" i="10"/>
  <c r="V28" i="10"/>
  <c r="W28" i="10" s="1"/>
  <c r="S29" i="10"/>
  <c r="T29" i="10"/>
  <c r="U29" i="10"/>
  <c r="V29" i="10"/>
  <c r="W29" i="10"/>
  <c r="S30" i="10"/>
  <c r="T30" i="10"/>
  <c r="U30" i="10"/>
  <c r="V30" i="10"/>
  <c r="W30" i="10"/>
  <c r="S31" i="10"/>
  <c r="T31" i="10"/>
  <c r="U31" i="10"/>
  <c r="V31" i="10"/>
  <c r="W31" i="10"/>
  <c r="S32" i="10"/>
  <c r="T32" i="10"/>
  <c r="U32" i="10"/>
  <c r="V32" i="10"/>
  <c r="W32" i="10"/>
  <c r="S33" i="10"/>
  <c r="T33" i="10"/>
  <c r="U33" i="10"/>
  <c r="V33" i="10"/>
  <c r="W33" i="10"/>
  <c r="S34" i="10"/>
  <c r="T34" i="10"/>
  <c r="U34" i="10"/>
  <c r="V34" i="10"/>
  <c r="W34" i="10"/>
  <c r="S35" i="10"/>
  <c r="T35" i="10"/>
  <c r="U35" i="10"/>
  <c r="V35" i="10"/>
  <c r="W35" i="10"/>
  <c r="S36" i="10"/>
  <c r="T36" i="10"/>
  <c r="W36" i="10" s="1"/>
  <c r="U36" i="10"/>
  <c r="V36" i="10"/>
  <c r="S37" i="10"/>
  <c r="T37" i="10"/>
  <c r="U37" i="10"/>
  <c r="V37" i="10"/>
  <c r="W37" i="10" s="1"/>
  <c r="S38" i="10"/>
  <c r="T38" i="10"/>
  <c r="U38" i="10"/>
  <c r="V38" i="10"/>
  <c r="W38" i="10" s="1"/>
  <c r="S39" i="10"/>
  <c r="T39" i="10"/>
  <c r="U39" i="10"/>
  <c r="V39" i="10"/>
  <c r="W39" i="10"/>
  <c r="S40" i="10"/>
  <c r="W40" i="10" s="1"/>
  <c r="T40" i="10"/>
  <c r="U40" i="10"/>
  <c r="V40" i="10"/>
  <c r="S41" i="10"/>
  <c r="T41" i="10"/>
  <c r="U41" i="10"/>
  <c r="W41" i="10" s="1"/>
  <c r="V41" i="10"/>
  <c r="S42" i="10"/>
  <c r="T42" i="10"/>
  <c r="W42" i="10" s="1"/>
  <c r="U42" i="10"/>
  <c r="V42" i="10"/>
  <c r="S43" i="10"/>
  <c r="T43" i="10"/>
  <c r="U43" i="10"/>
  <c r="W43" i="10" s="1"/>
  <c r="V43" i="10"/>
  <c r="S44" i="10"/>
  <c r="T44" i="10"/>
  <c r="U44" i="10"/>
  <c r="W44" i="10" s="1"/>
  <c r="V44" i="10"/>
  <c r="S45" i="10"/>
  <c r="T45" i="10"/>
  <c r="U45" i="10"/>
  <c r="V45" i="10"/>
  <c r="W45" i="10" s="1"/>
  <c r="S46" i="10"/>
  <c r="T46" i="10"/>
  <c r="U46" i="10"/>
  <c r="V46" i="10"/>
  <c r="W46" i="10"/>
  <c r="S47" i="10"/>
  <c r="W47" i="10" s="1"/>
  <c r="T47" i="10"/>
  <c r="U47" i="10"/>
  <c r="V47" i="10"/>
  <c r="S48" i="10"/>
  <c r="W48" i="10" s="1"/>
  <c r="T48" i="10"/>
  <c r="U48" i="10"/>
  <c r="V48" i="10"/>
  <c r="S49" i="10"/>
  <c r="W49" i="10" s="1"/>
  <c r="T49" i="10"/>
  <c r="U49" i="10"/>
  <c r="V49" i="10"/>
  <c r="S50" i="10"/>
  <c r="T50" i="10"/>
  <c r="W50" i="10" s="1"/>
  <c r="U50" i="10"/>
  <c r="V50" i="10"/>
  <c r="S51" i="10"/>
  <c r="T51" i="10"/>
  <c r="U51" i="10"/>
  <c r="V51" i="10"/>
  <c r="W51" i="10" s="1"/>
  <c r="S52" i="10"/>
  <c r="W52" i="10" s="1"/>
  <c r="T52" i="10"/>
  <c r="U52" i="10"/>
  <c r="V52" i="10"/>
  <c r="S53" i="10"/>
  <c r="T53" i="10"/>
  <c r="U53" i="10"/>
  <c r="V53" i="10"/>
  <c r="W53" i="10" s="1"/>
  <c r="S54" i="10"/>
  <c r="T54" i="10"/>
  <c r="U54" i="10"/>
  <c r="V54" i="10"/>
  <c r="W54" i="10" s="1"/>
  <c r="S55" i="10"/>
  <c r="W55" i="10" s="1"/>
  <c r="T55" i="10"/>
  <c r="U55" i="10"/>
  <c r="V55" i="10"/>
  <c r="S56" i="10"/>
  <c r="T56" i="10"/>
  <c r="U56" i="10"/>
  <c r="V56" i="10"/>
  <c r="W56" i="10"/>
  <c r="S57" i="10"/>
  <c r="T57" i="10"/>
  <c r="U57" i="10"/>
  <c r="V57" i="10"/>
  <c r="W57" i="10"/>
  <c r="S58" i="10"/>
  <c r="T58" i="10"/>
  <c r="U58" i="10"/>
  <c r="V58" i="10"/>
  <c r="W58" i="10"/>
  <c r="S59" i="10"/>
  <c r="T59" i="10"/>
  <c r="U59" i="10"/>
  <c r="V59" i="10"/>
  <c r="W59" i="10"/>
  <c r="S60" i="10"/>
  <c r="T60" i="10"/>
  <c r="U60" i="10"/>
  <c r="V60" i="10"/>
  <c r="W60" i="10"/>
  <c r="S61" i="10"/>
  <c r="T61" i="10"/>
  <c r="U61" i="10"/>
  <c r="V61" i="10"/>
  <c r="W61" i="10"/>
  <c r="S62" i="10"/>
  <c r="T62" i="10"/>
  <c r="U62" i="10"/>
  <c r="V62" i="10"/>
  <c r="W62" i="10"/>
  <c r="S63" i="10"/>
  <c r="T63" i="10"/>
  <c r="U63" i="10"/>
  <c r="V63" i="10"/>
  <c r="W63" i="10"/>
  <c r="S64" i="10"/>
  <c r="T64" i="10"/>
  <c r="U64" i="10"/>
  <c r="V64" i="10"/>
  <c r="W64" i="10"/>
  <c r="S65" i="10"/>
  <c r="T65" i="10"/>
  <c r="U65" i="10"/>
  <c r="V65" i="10"/>
  <c r="W65" i="10"/>
  <c r="S66" i="10"/>
  <c r="T66" i="10"/>
  <c r="U66" i="10"/>
  <c r="V66" i="10"/>
  <c r="W66" i="10"/>
  <c r="S67" i="10"/>
  <c r="T67" i="10"/>
  <c r="U67" i="10"/>
  <c r="V67" i="10"/>
  <c r="W67" i="10"/>
  <c r="S68" i="10"/>
  <c r="T68" i="10"/>
  <c r="U68" i="10"/>
  <c r="V68" i="10"/>
  <c r="W68" i="10"/>
  <c r="S69" i="10"/>
  <c r="T69" i="10"/>
  <c r="U69" i="10"/>
  <c r="W69" i="10" s="1"/>
  <c r="V69" i="10"/>
  <c r="S70" i="10"/>
  <c r="W70" i="10" s="1"/>
  <c r="T70" i="10"/>
  <c r="U70" i="10"/>
  <c r="V70" i="10"/>
  <c r="S71" i="10"/>
  <c r="T71" i="10"/>
  <c r="U71" i="10"/>
  <c r="W71" i="10" s="1"/>
  <c r="V71" i="10"/>
  <c r="S72" i="10"/>
  <c r="T72" i="10"/>
  <c r="U72" i="10"/>
  <c r="V72" i="10"/>
  <c r="W72" i="10" s="1"/>
  <c r="S73" i="10"/>
  <c r="T73" i="10"/>
  <c r="U73" i="10"/>
  <c r="V73" i="10"/>
  <c r="W73" i="10"/>
  <c r="S74" i="10"/>
  <c r="T74" i="10"/>
  <c r="U74" i="10"/>
  <c r="V74" i="10"/>
  <c r="W74" i="10" s="1"/>
  <c r="X74" i="10" s="1"/>
  <c r="S75" i="10"/>
  <c r="T75" i="10"/>
  <c r="U75" i="10"/>
  <c r="V75" i="10"/>
  <c r="W75" i="10"/>
  <c r="S76" i="10"/>
  <c r="T76" i="10"/>
  <c r="U76" i="10"/>
  <c r="V76" i="10"/>
  <c r="W76" i="10"/>
  <c r="S77" i="10"/>
  <c r="T77" i="10"/>
  <c r="U77" i="10"/>
  <c r="V77" i="10"/>
  <c r="W77" i="10"/>
  <c r="X77" i="10" s="1"/>
  <c r="S78" i="10"/>
  <c r="T78" i="10"/>
  <c r="U78" i="10"/>
  <c r="V78" i="10"/>
  <c r="W78" i="10"/>
  <c r="X78" i="10" s="1"/>
  <c r="S79" i="10"/>
  <c r="T79" i="10"/>
  <c r="U79" i="10"/>
  <c r="V79" i="10"/>
  <c r="W79" i="10"/>
  <c r="X79" i="10" s="1"/>
  <c r="S80" i="10"/>
  <c r="T80" i="10"/>
  <c r="U80" i="10"/>
  <c r="V80" i="10"/>
  <c r="W80" i="10"/>
  <c r="X80" i="10" s="1"/>
  <c r="S81" i="10"/>
  <c r="W81" i="10" s="1"/>
  <c r="X81" i="10" s="1"/>
  <c r="T81" i="10"/>
  <c r="U81" i="10"/>
  <c r="V81" i="10"/>
  <c r="S82" i="10"/>
  <c r="T82" i="10"/>
  <c r="U82" i="10"/>
  <c r="V82" i="10"/>
  <c r="W82" i="10"/>
  <c r="S83" i="10"/>
  <c r="T83" i="10"/>
  <c r="U83" i="10"/>
  <c r="V83" i="10"/>
  <c r="W83" i="10"/>
  <c r="S84" i="10"/>
  <c r="T84" i="10"/>
  <c r="U84" i="10"/>
  <c r="V84" i="10"/>
  <c r="W84" i="10"/>
  <c r="S85" i="10"/>
  <c r="T85" i="10"/>
  <c r="U85" i="10"/>
  <c r="V85" i="10"/>
  <c r="W85" i="10"/>
  <c r="S86" i="10"/>
  <c r="T86" i="10"/>
  <c r="U86" i="10"/>
  <c r="V86" i="10"/>
  <c r="W86" i="10"/>
  <c r="S87" i="10"/>
  <c r="T87" i="10"/>
  <c r="U87" i="10"/>
  <c r="V87" i="10"/>
  <c r="W87" i="10"/>
  <c r="S88" i="10"/>
  <c r="T88" i="10"/>
  <c r="U88" i="10"/>
  <c r="V88" i="10"/>
  <c r="W88" i="10"/>
  <c r="Y2" i="10"/>
  <c r="W2" i="10"/>
  <c r="V2" i="10"/>
  <c r="U2" i="10"/>
  <c r="T2" i="10"/>
  <c r="S2" i="10"/>
  <c r="B2" i="10"/>
  <c r="I3" i="10"/>
  <c r="I4" i="10"/>
  <c r="I5" i="10"/>
  <c r="R5" i="10" s="1"/>
  <c r="I6" i="10"/>
  <c r="R6" i="10" s="1"/>
  <c r="I7" i="10"/>
  <c r="R7" i="10" s="1"/>
  <c r="I8" i="10"/>
  <c r="R8" i="10" s="1"/>
  <c r="I9" i="10"/>
  <c r="R9" i="10" s="1"/>
  <c r="I10" i="10"/>
  <c r="R10" i="10" s="1"/>
  <c r="I11" i="10"/>
  <c r="R11" i="10" s="1"/>
  <c r="I12" i="10"/>
  <c r="R12" i="10" s="1"/>
  <c r="I13" i="10"/>
  <c r="R13" i="10" s="1"/>
  <c r="I14" i="10"/>
  <c r="R14" i="10" s="1"/>
  <c r="I15" i="10"/>
  <c r="R15" i="10" s="1"/>
  <c r="I16" i="10"/>
  <c r="I17" i="10"/>
  <c r="R17" i="10" s="1"/>
  <c r="I18" i="10"/>
  <c r="R18" i="10" s="1"/>
  <c r="I19" i="10"/>
  <c r="R19" i="10" s="1"/>
  <c r="I20" i="10"/>
  <c r="R20" i="10" s="1"/>
  <c r="I21" i="10"/>
  <c r="R21" i="10" s="1"/>
  <c r="I22" i="10"/>
  <c r="R22" i="10" s="1"/>
  <c r="I23" i="10"/>
  <c r="R23" i="10" s="1"/>
  <c r="I24" i="10"/>
  <c r="R24" i="10" s="1"/>
  <c r="I25" i="10"/>
  <c r="R25" i="10" s="1"/>
  <c r="I26" i="10"/>
  <c r="R26" i="10" s="1"/>
  <c r="I27" i="10"/>
  <c r="R27" i="10" s="1"/>
  <c r="I28" i="10"/>
  <c r="R28" i="10" s="1"/>
  <c r="I29" i="10"/>
  <c r="R29" i="10" s="1"/>
  <c r="I30" i="10"/>
  <c r="R30" i="10" s="1"/>
  <c r="I31" i="10"/>
  <c r="R31" i="10" s="1"/>
  <c r="I32" i="10"/>
  <c r="R32" i="10" s="1"/>
  <c r="I33" i="10"/>
  <c r="R33" i="10" s="1"/>
  <c r="I34" i="10"/>
  <c r="R34" i="10" s="1"/>
  <c r="I35" i="10"/>
  <c r="R35" i="10" s="1"/>
  <c r="I36" i="10"/>
  <c r="R36" i="10" s="1"/>
  <c r="I37" i="10"/>
  <c r="R37" i="10" s="1"/>
  <c r="I38" i="10"/>
  <c r="R38" i="10" s="1"/>
  <c r="I39" i="10"/>
  <c r="I40" i="10"/>
  <c r="I41" i="10"/>
  <c r="I42" i="10"/>
  <c r="R42" i="10" s="1"/>
  <c r="I43" i="10"/>
  <c r="R43" i="10" s="1"/>
  <c r="I44" i="10"/>
  <c r="I45" i="10"/>
  <c r="R45" i="10" s="1"/>
  <c r="I46" i="10"/>
  <c r="R46" i="10" s="1"/>
  <c r="I47" i="10"/>
  <c r="R47" i="10" s="1"/>
  <c r="I48" i="10"/>
  <c r="R48" i="10" s="1"/>
  <c r="I49" i="10"/>
  <c r="R49" i="10" s="1"/>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2" i="10"/>
  <c r="Q2" i="10" s="1"/>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2"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3" i="10"/>
  <c r="G4" i="10"/>
  <c r="G5" i="10"/>
  <c r="G6" i="10"/>
  <c r="G7" i="10"/>
  <c r="G8"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2" i="10"/>
  <c r="E2" i="10"/>
  <c r="D2" i="10"/>
  <c r="C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A2" i="10" a="1"/>
  <c r="L9" i="8" a="1"/>
  <c r="L8" i="8"/>
  <c r="L7" i="8"/>
  <c r="L6" i="8"/>
  <c r="L5" i="8" a="1"/>
  <c r="L4" i="8" a="1"/>
  <c r="L3" i="8"/>
  <c r="L2" i="8"/>
  <c r="I2" i="8" a="1"/>
  <c r="H2" i="8" a="1"/>
  <c r="G2" i="8" a="1"/>
  <c r="F2" i="8" a="1"/>
  <c r="E2" i="8" a="1"/>
  <c r="D2" i="8" a="1"/>
  <c r="C2" i="8" a="1"/>
  <c r="B2" i="8" a="1"/>
  <c r="A2" i="8" a="1"/>
  <c r="N24" i="6"/>
  <c r="N23" i="6"/>
  <c r="N21" i="6" a="1"/>
  <c r="N20" i="6" a="1"/>
  <c r="N19" i="6"/>
  <c r="N18" i="6" a="1"/>
  <c r="N17" i="6" a="1"/>
  <c r="N16" i="6" a="1"/>
  <c r="N10" i="6"/>
  <c r="N15" i="6"/>
  <c r="N14" i="6"/>
  <c r="N13" i="6"/>
  <c r="N12" i="6"/>
  <c r="N11" i="6"/>
  <c r="N9" i="6"/>
  <c r="N8" i="6"/>
  <c r="N7" i="6"/>
  <c r="N6" i="6"/>
  <c r="N5" i="6"/>
  <c r="N4" i="6"/>
  <c r="N3" i="6"/>
  <c r="N2" i="6"/>
  <c r="K2" i="6" a="1"/>
  <c r="J2" i="6" a="1"/>
  <c r="I2" i="6" a="1"/>
  <c r="H2" i="6" a="1"/>
  <c r="G2" i="6" a="1"/>
  <c r="F2" i="6" a="1"/>
  <c r="E2" i="6" a="1"/>
  <c r="D2" i="6" a="1"/>
  <c r="C2" i="6" a="1"/>
  <c r="A2" i="6" a="1"/>
  <c r="B2" i="6" a="1"/>
  <c r="EE5" i="5"/>
  <c r="EE3" i="5"/>
  <c r="EE4" i="5"/>
  <c r="EE2" i="5"/>
  <c r="ED3" i="5"/>
  <c r="ED4" i="5"/>
  <c r="ED5" i="5"/>
  <c r="ED2" i="5"/>
  <c r="EC2" i="5" a="1"/>
  <c r="DX2" i="5" a="1"/>
  <c r="EA2" i="5" a="1"/>
  <c r="DW2" i="5" a="1"/>
  <c r="DY3" i="5"/>
  <c r="DZ3" i="5" s="1"/>
  <c r="DY4" i="5"/>
  <c r="DZ4" i="5" s="1"/>
  <c r="DV2" i="5" a="1"/>
  <c r="DU2" i="5"/>
  <c r="DT2" i="5"/>
  <c r="DS2" i="5" a="1"/>
  <c r="DO2" i="5" a="1"/>
  <c r="DN2" i="5" a="1"/>
  <c r="DM2" i="5" a="1"/>
  <c r="DK3" i="5"/>
  <c r="DK4" i="5"/>
  <c r="DK5" i="5"/>
  <c r="DK6" i="5"/>
  <c r="DK7" i="5"/>
  <c r="DK8" i="5"/>
  <c r="DK9" i="5"/>
  <c r="DK10" i="5"/>
  <c r="DK11" i="5"/>
  <c r="DK12" i="5"/>
  <c r="DK13" i="5"/>
  <c r="DK14" i="5"/>
  <c r="DK2" i="5"/>
  <c r="DJ3" i="5"/>
  <c r="DJ4" i="5"/>
  <c r="DJ5" i="5"/>
  <c r="DJ6" i="5"/>
  <c r="DJ7" i="5"/>
  <c r="DJ8" i="5"/>
  <c r="DJ9" i="5"/>
  <c r="DJ10" i="5"/>
  <c r="DJ11" i="5"/>
  <c r="DJ12" i="5"/>
  <c r="DJ13" i="5"/>
  <c r="DJ14" i="5"/>
  <c r="DJ2" i="5"/>
  <c r="DI2" i="5" a="1"/>
  <c r="DG2" i="5" a="1"/>
  <c r="DF2" i="5" a="1"/>
  <c r="DE2" i="5" a="1"/>
  <c r="DD2" i="5" a="1"/>
  <c r="DC2" i="5" a="1"/>
  <c r="DB2" i="5" a="1"/>
  <c r="DA2" i="5" a="1"/>
  <c r="CY13" i="5"/>
  <c r="CY14" i="5"/>
  <c r="CY3" i="5"/>
  <c r="CY4" i="5"/>
  <c r="CY5" i="5"/>
  <c r="CY6" i="5"/>
  <c r="CY7" i="5"/>
  <c r="CY8" i="5"/>
  <c r="CY9" i="5"/>
  <c r="CY10" i="5"/>
  <c r="CY11" i="5"/>
  <c r="CY12" i="5"/>
  <c r="CY2" i="5"/>
  <c r="CX3" i="5"/>
  <c r="CX4" i="5"/>
  <c r="CX5" i="5"/>
  <c r="CX6" i="5"/>
  <c r="CX7" i="5"/>
  <c r="CX8" i="5"/>
  <c r="CX9" i="5"/>
  <c r="CX10" i="5"/>
  <c r="CX11" i="5"/>
  <c r="CX12" i="5"/>
  <c r="CX13" i="5"/>
  <c r="CX14" i="5"/>
  <c r="CX2" i="5"/>
  <c r="CW2" i="5" a="1"/>
  <c r="CV2" i="5" a="1"/>
  <c r="CU3" i="5"/>
  <c r="CU4" i="5"/>
  <c r="CU5" i="5"/>
  <c r="CU6" i="5"/>
  <c r="CU7" i="5"/>
  <c r="CU8" i="5"/>
  <c r="CU9" i="5"/>
  <c r="CU10" i="5"/>
  <c r="CU2" i="5"/>
  <c r="CT3" i="5"/>
  <c r="CT4" i="5"/>
  <c r="CT5" i="5"/>
  <c r="CT6" i="5"/>
  <c r="CT7" i="5"/>
  <c r="CT8" i="5"/>
  <c r="CT9" i="5"/>
  <c r="CT10" i="5"/>
  <c r="CT2" i="5"/>
  <c r="CS2" i="5" a="1"/>
  <c r="CQ3" i="5" a="1"/>
  <c r="CQ4" i="5" a="1"/>
  <c r="CQ5" i="5" a="1"/>
  <c r="CQ6" i="5" a="1"/>
  <c r="CQ7" i="5" a="1"/>
  <c r="CQ8" i="5" a="1"/>
  <c r="CQ9" i="5" a="1"/>
  <c r="CQ10" i="5" a="1"/>
  <c r="CQ11" i="5" a="1"/>
  <c r="CQ12" i="5" a="1"/>
  <c r="CQ13" i="5" a="1"/>
  <c r="CQ14" i="5" a="1"/>
  <c r="CQ15" i="5" a="1"/>
  <c r="CQ16" i="5" a="1"/>
  <c r="CQ17" i="5" a="1"/>
  <c r="CQ18" i="5" a="1"/>
  <c r="CQ19" i="5" a="1"/>
  <c r="CQ20" i="5" a="1"/>
  <c r="CQ21" i="5" a="1"/>
  <c r="CQ22" i="5" a="1"/>
  <c r="CQ23" i="5" a="1"/>
  <c r="CQ24" i="5" a="1"/>
  <c r="CQ25" i="5" a="1"/>
  <c r="CQ26" i="5" a="1"/>
  <c r="CQ27" i="5" a="1"/>
  <c r="CQ28" i="5" a="1"/>
  <c r="CQ29" i="5" a="1"/>
  <c r="CQ2" i="5" a="1"/>
  <c r="CP3" i="5"/>
  <c r="CP4" i="5"/>
  <c r="CP5" i="5"/>
  <c r="CP6" i="5"/>
  <c r="CP7" i="5"/>
  <c r="CP8" i="5"/>
  <c r="CP9" i="5"/>
  <c r="CP10" i="5"/>
  <c r="CP11" i="5"/>
  <c r="CP12" i="5"/>
  <c r="CP13" i="5"/>
  <c r="CP14" i="5"/>
  <c r="CP15" i="5"/>
  <c r="CP16" i="5"/>
  <c r="CP17" i="5"/>
  <c r="CP18" i="5"/>
  <c r="CP19" i="5"/>
  <c r="CP20" i="5"/>
  <c r="CP21" i="5"/>
  <c r="CP22" i="5"/>
  <c r="CP23" i="5"/>
  <c r="CP24" i="5"/>
  <c r="CP25" i="5"/>
  <c r="CP26" i="5"/>
  <c r="CP27" i="5"/>
  <c r="CP28" i="5"/>
  <c r="CP29" i="5"/>
  <c r="CP2" i="5"/>
  <c r="CO2" i="5" a="1"/>
  <c r="CK2" i="5" a="1"/>
  <c r="CE2" i="5" a="1"/>
  <c r="CM5" i="5"/>
  <c r="CM3" i="5"/>
  <c r="CM2" i="5"/>
  <c r="CL2" i="5" a="1"/>
  <c r="CD2" i="5" a="1"/>
  <c r="CJ2" i="5"/>
  <c r="CI2" i="5" a="1"/>
  <c r="CG7" i="5"/>
  <c r="CH7" i="5" s="1"/>
  <c r="CG6" i="5"/>
  <c r="CH6" i="5" s="1"/>
  <c r="CG5" i="5"/>
  <c r="CH5" i="5" s="1"/>
  <c r="CG4" i="5"/>
  <c r="CH4" i="5" s="1"/>
  <c r="CG3" i="5"/>
  <c r="CH3" i="5" s="1"/>
  <c r="CG2" i="5"/>
  <c r="CF2" i="5" a="1"/>
  <c r="CC2" i="5" a="1"/>
  <c r="CB2" i="5" a="1"/>
  <c r="CA2" i="5" a="1"/>
  <c r="BZ2" i="5" a="1"/>
  <c r="BU9" i="5" a="1"/>
  <c r="BT9" i="5" a="1"/>
  <c r="BV4" i="5"/>
  <c r="BV3" i="5"/>
  <c r="BU4" i="5"/>
  <c r="BU3" i="5"/>
  <c r="BV2" i="5"/>
  <c r="BU2" i="5"/>
  <c r="A2" i="5" a="1"/>
  <c r="A1" i="5" a="1"/>
  <c r="H3" i="3" a="1"/>
  <c r="A3" i="3" a="1"/>
  <c r="B21" i="2"/>
  <c r="C21" i="2" s="1"/>
  <c r="B20" i="2"/>
  <c r="C20" i="2" s="1"/>
  <c r="C19" i="2"/>
  <c r="B19" i="2"/>
  <c r="B15" i="2"/>
  <c r="B14" i="2"/>
  <c r="B13" i="2"/>
  <c r="C11" i="2"/>
  <c r="B12" i="2"/>
  <c r="C12" i="2" s="1"/>
  <c r="B11" i="2"/>
  <c r="C3" i="2"/>
  <c r="B3" i="2"/>
  <c r="B5" i="2"/>
  <c r="C5" i="2" s="1"/>
  <c r="B6" i="2"/>
  <c r="C6" i="2" s="1"/>
  <c r="B7" i="2"/>
  <c r="C7" i="2" s="1"/>
  <c r="B8" i="2"/>
  <c r="C8" i="2" s="1"/>
  <c r="B4" i="2"/>
  <c r="C4" i="2" s="1"/>
  <c r="X2" i="10" l="1"/>
  <c r="X88" i="10"/>
  <c r="X87" i="10"/>
  <c r="X86" i="10"/>
  <c r="X85" i="10"/>
  <c r="X84" i="10"/>
  <c r="X83" i="10"/>
  <c r="X82" i="10"/>
  <c r="X65" i="10"/>
  <c r="X64" i="10"/>
  <c r="X63" i="10"/>
  <c r="X62" i="10"/>
  <c r="X61" i="10"/>
  <c r="X60" i="10"/>
  <c r="X59" i="10"/>
  <c r="X58" i="10"/>
  <c r="X57" i="10"/>
  <c r="X56" i="10"/>
  <c r="X34" i="10"/>
  <c r="X33" i="10"/>
  <c r="X32" i="10"/>
  <c r="X31" i="10"/>
  <c r="X30" i="10"/>
  <c r="X29" i="10"/>
  <c r="X3" i="10"/>
  <c r="X4" i="10"/>
  <c r="X70" i="10"/>
  <c r="X7" i="10"/>
  <c r="X9" i="10"/>
  <c r="X12" i="10"/>
  <c r="X14" i="10"/>
  <c r="X18" i="10"/>
  <c r="X19" i="10"/>
  <c r="X22" i="10"/>
  <c r="X24" i="10"/>
  <c r="X27" i="10"/>
  <c r="X37" i="10"/>
  <c r="X40" i="10"/>
  <c r="X45" i="10"/>
  <c r="X48" i="10"/>
  <c r="X52" i="10"/>
  <c r="X68" i="10"/>
  <c r="X75" i="10"/>
  <c r="X5" i="10"/>
  <c r="X10" i="10"/>
  <c r="X13" i="10"/>
  <c r="X16" i="10"/>
  <c r="X21" i="10"/>
  <c r="X25" i="10"/>
  <c r="X36" i="10"/>
  <c r="X39" i="10"/>
  <c r="X43" i="10"/>
  <c r="X47" i="10"/>
  <c r="X51" i="10"/>
  <c r="X66" i="10"/>
  <c r="X71" i="10"/>
  <c r="X6" i="10"/>
  <c r="X8" i="10"/>
  <c r="X11" i="10"/>
  <c r="X15" i="10"/>
  <c r="X17" i="10"/>
  <c r="X20" i="10"/>
  <c r="X23" i="10"/>
  <c r="X26" i="10"/>
  <c r="X35" i="10"/>
  <c r="X38" i="10"/>
  <c r="X41" i="10"/>
  <c r="X46" i="10"/>
  <c r="X49" i="10"/>
  <c r="X54" i="10"/>
  <c r="X69" i="10"/>
  <c r="X76" i="10"/>
  <c r="X28" i="10"/>
  <c r="X53" i="10"/>
  <c r="X44" i="10"/>
  <c r="X50" i="10"/>
  <c r="X55" i="10"/>
  <c r="X72" i="10"/>
  <c r="X42" i="10"/>
  <c r="X67" i="10"/>
  <c r="X73" i="10"/>
  <c r="R16" i="10"/>
  <c r="R40" i="10"/>
  <c r="R41" i="10"/>
  <c r="R44" i="10"/>
  <c r="R39" i="10"/>
  <c r="R2" i="10"/>
  <c r="P2" i="10"/>
  <c r="Q3" i="10"/>
  <c r="P3" i="10"/>
  <c r="R3" i="10"/>
  <c r="P5" i="10"/>
  <c r="Q5" i="10"/>
  <c r="P6" i="10"/>
  <c r="Q6" i="10"/>
  <c r="P7" i="10"/>
  <c r="Q7" i="10"/>
  <c r="P8" i="10"/>
  <c r="Q8" i="10"/>
  <c r="P9" i="10"/>
  <c r="Q9" i="10"/>
  <c r="Q10" i="10"/>
  <c r="P10" i="10"/>
  <c r="P11" i="10"/>
  <c r="Q11" i="10"/>
  <c r="P12" i="10"/>
  <c r="Q12" i="10"/>
  <c r="P13" i="10"/>
  <c r="Q13" i="10"/>
  <c r="P14" i="10"/>
  <c r="Q14" i="10"/>
  <c r="P15" i="10"/>
  <c r="Q15" i="10"/>
  <c r="P16" i="10"/>
  <c r="Q16" i="10"/>
  <c r="P17" i="10"/>
  <c r="Q17" i="10"/>
  <c r="P18" i="10"/>
  <c r="Q18" i="10"/>
  <c r="Q19" i="10"/>
  <c r="P19" i="10"/>
  <c r="P20" i="10"/>
  <c r="Q20" i="10"/>
  <c r="P21" i="10"/>
  <c r="Q21" i="10"/>
  <c r="P22" i="10"/>
  <c r="Q22" i="10"/>
  <c r="P23" i="10"/>
  <c r="Q23" i="10"/>
  <c r="P24" i="10"/>
  <c r="Q24" i="10"/>
  <c r="Q25" i="10"/>
  <c r="P25" i="10"/>
  <c r="Q26" i="10"/>
  <c r="P26" i="10"/>
  <c r="Q27" i="10"/>
  <c r="P27" i="10"/>
  <c r="Q28" i="10"/>
  <c r="P28" i="10"/>
  <c r="Q29" i="10"/>
  <c r="P29" i="10"/>
  <c r="Q30" i="10"/>
  <c r="P30" i="10"/>
  <c r="P31" i="10"/>
  <c r="Q31" i="10"/>
  <c r="Q32" i="10"/>
  <c r="P32" i="10"/>
  <c r="Q33" i="10"/>
  <c r="P33" i="10"/>
  <c r="P34" i="10"/>
  <c r="Q34" i="10"/>
  <c r="P35" i="10"/>
  <c r="Q35" i="10"/>
  <c r="Q36" i="10"/>
  <c r="P36" i="10"/>
  <c r="P37" i="10"/>
  <c r="Q37" i="10"/>
  <c r="P38" i="10"/>
  <c r="Q38" i="10"/>
  <c r="P39" i="10"/>
  <c r="Q39" i="10"/>
  <c r="P40" i="10"/>
  <c r="Q40" i="10"/>
  <c r="Q41" i="10"/>
  <c r="P41" i="10"/>
  <c r="Q42" i="10"/>
  <c r="P42" i="10"/>
  <c r="Q43" i="10"/>
  <c r="P43" i="10"/>
  <c r="Q44" i="10"/>
  <c r="P44" i="10"/>
  <c r="Q45" i="10"/>
  <c r="P45" i="10"/>
  <c r="P46" i="10"/>
  <c r="Q46" i="10"/>
  <c r="P47" i="10"/>
  <c r="Q47" i="10"/>
  <c r="P48" i="10"/>
  <c r="Q48" i="10"/>
  <c r="Q49" i="10"/>
  <c r="P49" i="10"/>
  <c r="Q50" i="10"/>
  <c r="R50" i="10"/>
  <c r="P50" i="10"/>
  <c r="R51" i="10"/>
  <c r="P51" i="10"/>
  <c r="Q51" i="10"/>
  <c r="R52" i="10"/>
  <c r="P52" i="10"/>
  <c r="Q52" i="10"/>
  <c r="R53" i="10"/>
  <c r="P53" i="10"/>
  <c r="Q53" i="10"/>
  <c r="R54" i="10"/>
  <c r="P54" i="10"/>
  <c r="Q54" i="10"/>
  <c r="R55" i="10"/>
  <c r="Q55" i="10"/>
  <c r="P55" i="10"/>
  <c r="R56" i="10"/>
  <c r="Q56" i="10"/>
  <c r="P56" i="10"/>
  <c r="R57" i="10"/>
  <c r="Q57" i="10"/>
  <c r="P57" i="10"/>
  <c r="R58" i="10"/>
  <c r="Q58" i="10"/>
  <c r="P58" i="10"/>
  <c r="R59" i="10"/>
  <c r="Q59" i="10"/>
  <c r="P59" i="10"/>
  <c r="R60" i="10"/>
  <c r="P60" i="10"/>
  <c r="Q60" i="10"/>
  <c r="R61" i="10"/>
  <c r="P61" i="10"/>
  <c r="Q61" i="10"/>
  <c r="R62" i="10"/>
  <c r="P62" i="10"/>
  <c r="Q62" i="10"/>
  <c r="P63" i="10"/>
  <c r="Q63" i="10"/>
  <c r="R63" i="10"/>
  <c r="Q64" i="10"/>
  <c r="R64" i="10"/>
  <c r="P64" i="10"/>
  <c r="Q65" i="10"/>
  <c r="R65" i="10"/>
  <c r="P65" i="10"/>
  <c r="R66" i="10"/>
  <c r="Q66" i="10"/>
  <c r="P66" i="10"/>
  <c r="Q67" i="10"/>
  <c r="R67" i="10"/>
  <c r="P67" i="10"/>
  <c r="Q68" i="10"/>
  <c r="R68" i="10"/>
  <c r="P68" i="10"/>
  <c r="Q69" i="10"/>
  <c r="R69" i="10"/>
  <c r="P69" i="10"/>
  <c r="Q70" i="10"/>
  <c r="R70" i="10"/>
  <c r="P70" i="10"/>
  <c r="Q71" i="10"/>
  <c r="R71" i="10"/>
  <c r="P71" i="10"/>
  <c r="R72" i="10"/>
  <c r="Q72" i="10"/>
  <c r="P72" i="10"/>
  <c r="R73" i="10"/>
  <c r="Q73" i="10"/>
  <c r="P73" i="10"/>
  <c r="P74" i="10"/>
  <c r="R74" i="10"/>
  <c r="Q74" i="10"/>
  <c r="P75" i="10"/>
  <c r="R75" i="10"/>
  <c r="Q75" i="10"/>
  <c r="P76" i="10"/>
  <c r="R76" i="10"/>
  <c r="Q76" i="10"/>
  <c r="R77" i="10"/>
  <c r="Q77" i="10"/>
  <c r="P77" i="10"/>
  <c r="R78" i="10"/>
  <c r="Q78" i="10"/>
  <c r="P78" i="10"/>
  <c r="Q79" i="10"/>
  <c r="R79" i="10"/>
  <c r="P79" i="10"/>
  <c r="R80" i="10"/>
  <c r="Q80" i="10"/>
  <c r="P80" i="10"/>
  <c r="R81" i="10"/>
  <c r="Q81" i="10"/>
  <c r="P81" i="10"/>
  <c r="R82" i="10"/>
  <c r="Q82" i="10"/>
  <c r="P82" i="10"/>
  <c r="Q83" i="10"/>
  <c r="P83" i="10"/>
  <c r="R83" i="10"/>
  <c r="Q84" i="10"/>
  <c r="R84" i="10"/>
  <c r="P84" i="10"/>
  <c r="Q85" i="10"/>
  <c r="R85" i="10"/>
  <c r="P85" i="10"/>
  <c r="Q86" i="10"/>
  <c r="R86" i="10"/>
  <c r="P86" i="10"/>
  <c r="Q87" i="10"/>
  <c r="R87" i="10"/>
  <c r="P87" i="10"/>
  <c r="R88" i="10"/>
  <c r="Q88" i="10"/>
  <c r="P88" i="10"/>
  <c r="P4" i="10"/>
  <c r="R4" i="10"/>
  <c r="Q4" i="10"/>
  <c r="H2" i="10"/>
  <c r="K51" i="10"/>
  <c r="K11" i="10"/>
  <c r="K75" i="10"/>
  <c r="H8" i="10"/>
  <c r="H45" i="10"/>
  <c r="K5" i="10"/>
  <c r="K16" i="10"/>
  <c r="H73" i="10"/>
  <c r="H75" i="10"/>
  <c r="K6" i="10"/>
  <c r="K19" i="10"/>
  <c r="K26" i="10"/>
  <c r="K31" i="10"/>
  <c r="K64" i="10"/>
  <c r="K77" i="10"/>
  <c r="K80" i="10"/>
  <c r="K46" i="10"/>
  <c r="K68" i="10"/>
  <c r="K74" i="10"/>
  <c r="H43" i="10"/>
  <c r="H63" i="10"/>
  <c r="H69" i="10"/>
  <c r="DY2" i="5"/>
  <c r="DZ2" i="5" s="1"/>
  <c r="CH2" i="5"/>
  <c r="CH8" i="5" s="1"/>
  <c r="CG8" i="5"/>
  <c r="B3" i="3" a="1"/>
  <c r="C13" i="2"/>
  <c r="C14" i="2"/>
  <c r="C15" i="2"/>
  <c r="K15" i="10" l="1"/>
  <c r="K21" i="10"/>
  <c r="K34" i="10"/>
  <c r="K39" i="10"/>
  <c r="K48" i="10"/>
  <c r="K53" i="10"/>
  <c r="K57" i="10"/>
  <c r="K69" i="10"/>
  <c r="K27" i="10"/>
  <c r="K55" i="10"/>
  <c r="H86" i="10"/>
  <c r="K9" i="10"/>
  <c r="K12" i="10"/>
  <c r="K50" i="10"/>
  <c r="H66" i="10"/>
  <c r="H29" i="10"/>
  <c r="H55" i="10"/>
  <c r="K60" i="10"/>
  <c r="K30" i="10"/>
  <c r="K35" i="10"/>
  <c r="K41" i="10"/>
  <c r="K44" i="10"/>
  <c r="K47" i="10"/>
  <c r="K54" i="10"/>
  <c r="K59" i="10"/>
  <c r="K63" i="10"/>
  <c r="K67" i="10"/>
  <c r="K70" i="10"/>
  <c r="K79" i="10"/>
  <c r="K84" i="10"/>
  <c r="H35" i="10"/>
  <c r="H39" i="10"/>
  <c r="H51" i="10"/>
  <c r="H56" i="10"/>
  <c r="H74" i="10"/>
  <c r="H80" i="10"/>
  <c r="K86" i="10"/>
  <c r="K2" i="10"/>
  <c r="H3" i="10"/>
  <c r="H10" i="10"/>
  <c r="H14" i="10"/>
  <c r="H18" i="10"/>
  <c r="H23" i="10"/>
  <c r="H32" i="10"/>
  <c r="H38" i="10"/>
  <c r="H41" i="10"/>
  <c r="H47" i="10"/>
  <c r="H59" i="10"/>
  <c r="H77" i="10"/>
  <c r="H83" i="10"/>
  <c r="K8" i="10"/>
  <c r="K13" i="10"/>
  <c r="K18" i="10"/>
  <c r="K24" i="10"/>
  <c r="K29" i="10"/>
  <c r="K43" i="10"/>
  <c r="K62" i="10"/>
  <c r="K85" i="10"/>
  <c r="H6" i="10"/>
  <c r="H12" i="10"/>
  <c r="H19" i="10"/>
  <c r="H25" i="10"/>
  <c r="H31" i="10"/>
  <c r="H78" i="10"/>
  <c r="H37" i="10"/>
  <c r="H70" i="10"/>
  <c r="H27" i="10"/>
  <c r="H40" i="10"/>
  <c r="H50" i="10"/>
  <c r="H61" i="10"/>
  <c r="K25" i="10"/>
  <c r="H11" i="10"/>
  <c r="H4" i="10"/>
  <c r="H57" i="10"/>
  <c r="H52" i="10"/>
  <c r="K4" i="10"/>
  <c r="K7" i="10"/>
  <c r="K17" i="10"/>
  <c r="K22" i="10"/>
  <c r="K28" i="10"/>
  <c r="K33" i="10"/>
  <c r="K38" i="10"/>
  <c r="K42" i="10"/>
  <c r="K58" i="10"/>
  <c r="K65" i="10"/>
  <c r="K71" i="10"/>
  <c r="K78" i="10"/>
  <c r="K83" i="10"/>
  <c r="K88" i="10"/>
  <c r="H5" i="10"/>
  <c r="H9" i="10"/>
  <c r="H15" i="10"/>
  <c r="H20" i="10"/>
  <c r="H33" i="10"/>
  <c r="H36" i="10"/>
  <c r="H44" i="10"/>
  <c r="H54" i="10"/>
  <c r="H58" i="10"/>
  <c r="K3" i="10"/>
  <c r="H21" i="10"/>
  <c r="H68" i="10"/>
  <c r="H85" i="10"/>
  <c r="K37" i="10"/>
  <c r="K56" i="10"/>
  <c r="K76" i="10"/>
  <c r="H65" i="10"/>
  <c r="H72" i="10"/>
  <c r="H71" i="10"/>
  <c r="H81" i="10"/>
  <c r="H84" i="10"/>
  <c r="H87" i="10"/>
  <c r="K73" i="10"/>
  <c r="H7" i="10"/>
  <c r="H26" i="10"/>
  <c r="H60" i="10"/>
  <c r="H76" i="10"/>
  <c r="H88" i="10"/>
  <c r="H16" i="10"/>
  <c r="H64" i="10"/>
  <c r="H30" i="10"/>
  <c r="H67" i="10"/>
  <c r="K61" i="10"/>
  <c r="K81" i="10"/>
  <c r="H79" i="10"/>
  <c r="H82" i="10"/>
  <c r="K10" i="10"/>
  <c r="K23" i="10"/>
  <c r="K32" i="10"/>
  <c r="K36" i="10"/>
  <c r="K40" i="10"/>
  <c r="K45" i="10"/>
  <c r="K49" i="10"/>
  <c r="K66" i="10"/>
  <c r="K82" i="10"/>
  <c r="K87" i="10"/>
  <c r="H13" i="10"/>
  <c r="H17" i="10"/>
  <c r="H22" i="10"/>
  <c r="H28" i="10"/>
  <c r="H34" i="10"/>
  <c r="H42" i="10"/>
  <c r="H62" i="10"/>
  <c r="K20" i="10"/>
  <c r="H24" i="10"/>
  <c r="H46" i="10"/>
  <c r="K72" i="10"/>
  <c r="H48" i="10"/>
  <c r="K52" i="10"/>
  <c r="H53" i="10"/>
  <c r="K14" i="10"/>
  <c r="H49" i="10"/>
  <c r="C3" i="3" a="1"/>
  <c r="B7" i="3"/>
  <c r="E3" i="3" l="1" a="1"/>
  <c r="C7" i="3"/>
  <c r="I6" i="3" l="1" a="1"/>
  <c r="H6" i="3" a="1"/>
  <c r="I5" i="3" a="1"/>
  <c r="H5" i="3" a="1"/>
  <c r="I4" i="3" a="1"/>
  <c r="H4" i="3" a="1"/>
  <c r="I3" i="3" a="1"/>
  <c r="K3" i="3" l="1" a="1"/>
  <c r="N5" i="3" l="1" a="1"/>
  <c r="N3" i="3" a="1"/>
  <c r="L3" i="3" a="1"/>
  <c r="N4" i="3" a="1"/>
  <c r="M3" i="3" l="1" a="1"/>
  <c r="L6" i="3"/>
  <c r="M6" i="3" l="1"/>
  <c r="O3" i="3" a="1"/>
  <c r="DQ2" i="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86B21F-3F2C-4676-B95C-CA3C1C71DA34}" keepAlive="1" name="Query - PAGESPEED_RAW" description="Connection to the 'PAGESPEED_RAW' query in the workbook." type="5" refreshedVersion="8" background="1" saveData="1">
    <dbPr connection="Provider=Microsoft.Mashup.OleDb.1;Data Source=$Workbook$;Location=PAGESPEED_RAW;Extended Properties=&quot;&quot;" command="SELECT * FROM [PAGESPEED_RAW]"/>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<sst xmlns="http://schemas.openxmlformats.org/spreadsheetml/2006/main" count="6708" uniqueCount="1302">
  <si>
    <t>Address</t>
  </si>
  <si>
    <t>Content Type</t>
  </si>
  <si>
    <t>Status Code</t>
  </si>
  <si>
    <t>Status</t>
  </si>
  <si>
    <t>Indexability</t>
  </si>
  <si>
    <t>Indexability Status</t>
  </si>
  <si>
    <t>Title 1</t>
  </si>
  <si>
    <t>Title 1 Length</t>
  </si>
  <si>
    <t>Title 1 Pixel Width</t>
  </si>
  <si>
    <t>Meta Description 1</t>
  </si>
  <si>
    <t>Meta Description 1 Length</t>
  </si>
  <si>
    <t>Meta Description 1 Pixel Width</t>
  </si>
  <si>
    <t>Meta Keywords 1</t>
  </si>
  <si>
    <t>Meta Keywords 1 Length</t>
  </si>
  <si>
    <t>H1-1</t>
  </si>
  <si>
    <t>H1-1 Length</t>
  </si>
  <si>
    <t>H1-2</t>
  </si>
  <si>
    <t>H1-2 Length</t>
  </si>
  <si>
    <t>H2-1</t>
  </si>
  <si>
    <t>H2-1 Length</t>
  </si>
  <si>
    <t>H2-2</t>
  </si>
  <si>
    <t>H2-2 Length</t>
  </si>
  <si>
    <t>Meta Robots 1</t>
  </si>
  <si>
    <t>X-Robots-Tag 1</t>
  </si>
  <si>
    <t>Meta Refresh 1</t>
  </si>
  <si>
    <t>Canonical Link Element 1</t>
  </si>
  <si>
    <t>rel="next" 1</t>
  </si>
  <si>
    <t>rel="prev" 1</t>
  </si>
  <si>
    <t>HTTP rel="next" 1</t>
  </si>
  <si>
    <t>HTTP rel="prev" 1</t>
  </si>
  <si>
    <t>amphtml Link Element</t>
  </si>
  <si>
    <t>Size (bytes)</t>
  </si>
  <si>
    <t>Transferred (bytes)</t>
  </si>
  <si>
    <t>Total Transferred (bytes)</t>
  </si>
  <si>
    <t>CO2 (mg)</t>
  </si>
  <si>
    <t>Carbon Rating</t>
  </si>
  <si>
    <t>Word Count</t>
  </si>
  <si>
    <t>Sentence Count</t>
  </si>
  <si>
    <t>Average Words Per Sentence</t>
  </si>
  <si>
    <t>Flesch Reading Ease Score</t>
  </si>
  <si>
    <t>Readability</t>
  </si>
  <si>
    <t>Text Ratio</t>
  </si>
  <si>
    <t>Crawl Depth</t>
  </si>
  <si>
    <t>Folder Depth</t>
  </si>
  <si>
    <t>Link Score</t>
  </si>
  <si>
    <t>Inlinks</t>
  </si>
  <si>
    <t>Unique Inlinks</t>
  </si>
  <si>
    <t>Unique JS Inlinks</t>
  </si>
  <si>
    <t>% of Total</t>
  </si>
  <si>
    <t>Outlinks</t>
  </si>
  <si>
    <t>Unique Outlinks</t>
  </si>
  <si>
    <t>Unique JS Outlinks</t>
  </si>
  <si>
    <t>External Outlinks</t>
  </si>
  <si>
    <t>Unique External Outlinks</t>
  </si>
  <si>
    <t>Unique External JS Outlinks</t>
  </si>
  <si>
    <t>Closest Similarity Match</t>
  </si>
  <si>
    <t>No. Near Duplicates</t>
  </si>
  <si>
    <t>Spelling Errors</t>
  </si>
  <si>
    <t>Grammar Errors</t>
  </si>
  <si>
    <t>Hash</t>
  </si>
  <si>
    <t>Response Time</t>
  </si>
  <si>
    <t>Last Modified</t>
  </si>
  <si>
    <t>Redirect URL</t>
  </si>
  <si>
    <t>Redirect Type</t>
  </si>
  <si>
    <t>Cookies</t>
  </si>
  <si>
    <t>Language</t>
  </si>
  <si>
    <t>HTTP Version</t>
  </si>
  <si>
    <t>Mobile Alternate Link</t>
  </si>
  <si>
    <t>URL Encoded Address</t>
  </si>
  <si>
    <t>Crawl Timestamp</t>
  </si>
  <si>
    <t>https://pmb.widyatama.ac.id/</t>
  </si>
  <si>
    <t>text/html; charset=UTF-8</t>
  </si>
  <si>
    <t>Indexable</t>
  </si>
  <si>
    <t>Home - PMB UTama</t>
  </si>
  <si>
    <t>Penerimaan Mahasiswa Baru Universitas Widyatama Bandung</t>
  </si>
  <si>
    <t>Temukan Jalur Kuliah yang Paling Sesuai</t>
  </si>
  <si>
    <t>Program Studi Diploma, Sarjana, dan Pascasarjana</t>
  </si>
  <si>
    <t>index, follow, max-image-preview:large, max-snippet:-1, max-video-preview:-1</t>
  </si>
  <si>
    <t>F</t>
  </si>
  <si>
    <t>0.000</t>
  </si>
  <si>
    <t>Very Hard</t>
  </si>
  <si>
    <t>a20e81bc6438e5cebb62cebec82d43c2</t>
  </si>
  <si>
    <t>Saturday, 15-Aug-2026 09:54:51 GMT</t>
  </si>
  <si>
    <t>en-US</t>
  </si>
  <si>
    <t>2.0</t>
  </si>
  <si>
    <t>https://pmb.widyatama.ac.id/wp-content/plugins/popup-maker/dist/packages/block-library-style.css?ver=7424eb959f91acb8bbb2</t>
  </si>
  <si>
    <t>Aborted</t>
  </si>
  <si>
    <t>Non-Indexable</t>
  </si>
  <si>
    <t>Client Error</t>
  </si>
  <si>
    <t>A+</t>
  </si>
  <si>
    <t>https://pmb.widyatama.ac.id/cdn-cgi/l/email-protection</t>
  </si>
  <si>
    <t>text/html</t>
  </si>
  <si>
    <t>0.205</t>
  </si>
  <si>
    <t>https://pmb.widyatama.ac.id/sitemap/</t>
  </si>
  <si>
    <t>B</t>
  </si>
  <si>
    <t>https://pmb.widyatama.ac.id/usm-tpa/</t>
  </si>
  <si>
    <t>https://pmb.widyatama.ac.id/petunjuk-pendaftaran/</t>
  </si>
  <si>
    <t>Petunjuk Pendaftaran - PMB UTama</t>
  </si>
  <si>
    <t>Petunjuk Pendaftaran Mahasiswa Baru Universitas Widyatama</t>
  </si>
  <si>
    <t>Buat akun PMB lebih dulu, lalu ikuti setiap tahap dengan urut.</t>
  </si>
  <si>
    <t>Cara Mudah Daftar Kuliah Online</t>
  </si>
  <si>
    <t>a2d3f3de39b760ce0970219c23bc52b8</t>
  </si>
  <si>
    <t>0.098</t>
  </si>
  <si>
    <t>Saturday, 15-Aug-2026 09:55:42 GMT</t>
  </si>
  <si>
    <t>None</t>
  </si>
  <si>
    <t>https://pmb.widyatama.ac.id/jenjang-pendidikan/</t>
  </si>
  <si>
    <t>Jenjang Pendidikan - PMB UTama</t>
  </si>
  <si>
    <t>Jenjang Pendidikan Universitas Widyatama: Diploma, Sarjana, Pascasarjana, dan Doktoral</t>
  </si>
  <si>
    <t>Konsultasi singkat untuk tahu jenjang yang paling sesuai.</t>
  </si>
  <si>
    <t>Mana Jenjang yang Cocok Buatmu?</t>
  </si>
  <si>
    <t>fe78e3bec59564785a59504aa8a6fc32</t>
  </si>
  <si>
    <t>0.141</t>
  </si>
  <si>
    <t>Saturday, 15-Aug-2026 09:55:44 GMT</t>
  </si>
  <si>
    <t>https://pmb.widyatama.ac.id/privacy-policy/</t>
  </si>
  <si>
    <t>Privacy Policy - PMB UTama</t>
  </si>
  <si>
    <t>Kebijakan Privasi Website PMB Universitas Widyatama</t>
  </si>
  <si>
    <t>Universitas Widyatama memproses data secara sah, terbatas, dan bertanggung jawab.</t>
  </si>
  <si>
    <t>Empat Hal yang Perlu Anda Ketahui</t>
  </si>
  <si>
    <t>E</t>
  </si>
  <si>
    <t>401e2e4a0ccb7c9dda5bf523b930781a</t>
  </si>
  <si>
    <t>Saturday, 15-Aug-2026 09:55:46 GMT</t>
  </si>
  <si>
    <t>https://pmb.widyatama.ac.id/cookie-policy/</t>
  </si>
  <si>
    <t>cookie policy - PMB UTama</t>
  </si>
  <si>
    <t>Kebijakan Cookie Website PMB Universitas Widyatama</t>
  </si>
  <si>
    <t>Cookies membantu website bekerja, tetapi pengguna tetap perlu tahu dan tetap punya kendali.</t>
  </si>
  <si>
    <t>d062b2afab0c590f5e86ae2e3944feba</t>
  </si>
  <si>
    <t>0.111</t>
  </si>
  <si>
    <t>Saturday, 15-Aug-2026 09:55:52 GMT</t>
  </si>
  <si>
    <t>https://pmb.widyatama.ac.id/biaya-kuliah-pascasarjana/</t>
  </si>
  <si>
    <t>Biaya Kuliah Pascasarjana - PMB UTama</t>
  </si>
  <si>
    <t>Biaya Kuliah Pascasarjana Widyatama Bandung 2026/2027</t>
  </si>
  <si>
    <t>Biaya Pascasarjana tidak selalu dibaca dengan cara yang sama.</t>
  </si>
  <si>
    <t>Simulasi Biaya Pascasarjana</t>
  </si>
  <si>
    <t>3a62e661b9c165c6386f7c8bfde05de8</t>
  </si>
  <si>
    <t>0.094</t>
  </si>
  <si>
    <t>Saturday, 15-Aug-2026 09:55:53 GMT</t>
  </si>
  <si>
    <t>https://pmb.widyatama.ac.id/mahasiswa-internasional/</t>
  </si>
  <si>
    <t>Mahasiswa Internasional - PMB UTama</t>
  </si>
  <si>
    <t>Mahasiswa Internasional Universitas Widyatama</t>
  </si>
  <si>
    <t>Siapkan dokumen akademik dan identitas sebelum memulai pendaftaran.</t>
  </si>
  <si>
    <t>Apa yang Perlu Disiapkan Sebelum Mendaftar?</t>
  </si>
  <si>
    <t>c5ae0eee17e720e69e88c30d34b9438b</t>
  </si>
  <si>
    <t>0.101</t>
  </si>
  <si>
    <t>Saturday, 15-Aug-2026 09:55:58 GMT</t>
  </si>
  <si>
    <t>https://pmb.widyatama.ac.id/output-lulusan/</t>
  </si>
  <si>
    <t>Output Lulusan - PMB UTama</t>
  </si>
  <si>
    <t>Output Lulusan Universitas Widyatama</t>
  </si>
  <si>
    <t>Halaman ini menjelaskan dokumen dan sertifikasi yang menjadi output setelah lulus.</t>
  </si>
  <si>
    <t>Tidak Hanya Ijazah, tetapi Juga Bukti Kompetensi</t>
  </si>
  <si>
    <t>c40c6727e76f0a4013fda4e11f1aa632</t>
  </si>
  <si>
    <t>0.265</t>
  </si>
  <si>
    <t>Saturday, 15-Aug-2026 09:56:08 GMT</t>
  </si>
  <si>
    <t>https://pmb.widyatama.ac.id/output-lulusan/GANTI_URL_GAMBAR_SAP</t>
  </si>
  <si>
    <t>https://pmb.widyatama.ac.id/output-lulusan/GANTI_URL_GAMBAR_TRANSKRIP</t>
  </si>
  <si>
    <t>https://pmb.widyatama.ac.id/output-lulusan/GANTI_URL_GAMBAR_BNSP</t>
  </si>
  <si>
    <t>https://pmb.widyatama.ac.id/output-lulusan/GANTI_URL_GAMBAR_IJAZAH</t>
  </si>
  <si>
    <t>https://pmb.widyatama.ac.id/output-lulusan/GANTI_URL_GAMBAR_SKPI</t>
  </si>
  <si>
    <t>https://pmb.widyatama.ac.id/beasiswa-mahasiswa-aktif/</t>
  </si>
  <si>
    <t>Beasiswa Mahasiswa Aktif - PMB UTama</t>
  </si>
  <si>
    <t>Beasiswa Mahasiswa Aktif Universitas Widyatama</t>
  </si>
  <si>
    <t>Beasiswa ini berlaku setelah calon mahasiswa resmi menjadi mahasiswa aktif.</t>
  </si>
  <si>
    <t>Ada Peluang Beasiswa Setelah Menjadi Mahasiswa Aktif</t>
  </si>
  <si>
    <t>c573cedd5f4118e1c089b7888c4a266b</t>
  </si>
  <si>
    <t>0.150</t>
  </si>
  <si>
    <t>Saturday, 15-Aug-2026 09:56:14 GMT</t>
  </si>
  <si>
    <t>https://pmb.widyatama.ac.id/program-rpl/</t>
  </si>
  <si>
    <t>Program RPL - PMB UTama</t>
  </si>
  <si>
    <t>Program RPL Widyatama Bandung: Rekognisi Pengalaman Kerja &amp; Pembelajaran Lampau</t>
  </si>
  <si>
    <t>Sudah punya pengalaman kerja, pernah kuliah, atau punya sertifikasi?</t>
  </si>
  <si>
    <t>Sudah Punya Pengalaman? Saatnya Cek Potensi Rekognisi Anda</t>
  </si>
  <si>
    <t>e489ccee94e009b0984b4f1ce884fe0a</t>
  </si>
  <si>
    <t>0.388</t>
  </si>
  <si>
    <t>Saturday, 15-Aug-2026 09:56:12 GMT</t>
  </si>
  <si>
    <t>https://pmb.widyatama.ac.id/biaya-kuliah-kelas-karyawan/</t>
  </si>
  <si>
    <t>Biaya Kuliah Kelas Karyawan - PMB UTama</t>
  </si>
  <si>
    <t>Biaya Kuliah Kelas Karyawan Widyatama Bandung 2026/2027</t>
  </si>
  <si>
    <t>Butuh skema biaya yang lebih mudah direncanakan?</t>
  </si>
  <si>
    <t>Simulasi Biaya Kelas Karyawan</t>
  </si>
  <si>
    <t>d7620fe32c20cc691c4f96210da7f795</t>
  </si>
  <si>
    <t>0.218</t>
  </si>
  <si>
    <t>Saturday, 15-Aug-2026 09:56:16 GMT</t>
  </si>
  <si>
    <t>https://pmb.widyatama.ac.id/jurusan/</t>
  </si>
  <si>
    <t>Jurusan - PMB UTama</t>
  </si>
  <si>
    <t>Daftar Jurusan di Universitas Widyatama Bandung</t>
  </si>
  <si>
    <t>Mulai dari minat, jenjang, dan prospek karier yang Anda tuju.</t>
  </si>
  <si>
    <t>Pencarian</t>
  </si>
  <si>
    <t>cda17362fd9d8bab8f3757cbdcdfe342</t>
  </si>
  <si>
    <t>0.224</t>
  </si>
  <si>
    <t>Saturday, 15-Aug-2026 09:56:10 GMT</t>
  </si>
  <si>
    <t>https://pmb.widyatama.ac.id/blog/</t>
  </si>
  <si>
    <t>Blog - PMB UTama</t>
  </si>
  <si>
    <t>The Rapid Advancement of Digital Technology</t>
  </si>
  <si>
    <t>Democracy in Indonesia: Why It Feels Weak at the Grassroots</t>
  </si>
  <si>
    <t>Search</t>
  </si>
  <si>
    <t>Categories</t>
  </si>
  <si>
    <t>Fairly Easy</t>
  </si>
  <si>
    <t>5bd6aad56c78051ff764117d1cae49cf</t>
  </si>
  <si>
    <t>0.222</t>
  </si>
  <si>
    <t>Saturday, 15-Aug-2026 09:56:23 GMT</t>
  </si>
  <si>
    <t>https://pmb.widyatama.ac.id/biaya-kuliah-kelas-reguler/</t>
  </si>
  <si>
    <t>Biaya Kuliah Kelas Reguler - PMB UTama</t>
  </si>
  <si>
    <t>Biaya Kuliah Kelas Reguler Widyatama Bandung 2026/2027</t>
  </si>
  <si>
    <t>Butuh memahami total biaya sebelum daftar?</t>
  </si>
  <si>
    <t>4e1e99d197c7d1a3bbc5d241bff918be</t>
  </si>
  <si>
    <t>0.099</t>
  </si>
  <si>
    <t>Saturday, 15-Aug-2026 09:56:28 GMT</t>
  </si>
  <si>
    <t>https://online.pmb.widyatama.ac.id/</t>
  </si>
  <si>
    <t>text/html; charset=utf-8</t>
  </si>
  <si>
    <t>PMB | Universitas Widyatama</t>
  </si>
  <si>
    <t>Program PMB</t>
  </si>
  <si>
    <t>C</t>
  </si>
  <si>
    <t>Hard</t>
  </si>
  <si>
    <t>daa80905eee0e777d0b807d8b4aafa1c</t>
  </si>
  <si>
    <t>0.251</t>
  </si>
  <si>
    <t>en</t>
  </si>
  <si>
    <t>https://pmb.widyatama.ac.id/aktivitas-civitas/</t>
  </si>
  <si>
    <t>Aktivitas Civitas - PMB UTama</t>
  </si>
  <si>
    <t>Berbagai Aktivitas Sivitas di Universitas Widyatama</t>
  </si>
  <si>
    <t>Fasilitas</t>
  </si>
  <si>
    <t>edfffc6c3beae9324d073c7621802369</t>
  </si>
  <si>
    <t>Saturday, 15-Aug-2026 09:56:34 GMT</t>
  </si>
  <si>
    <t>https://pmb.widyatama.ac.id/program-pascasarjana/</t>
  </si>
  <si>
    <t>Program Pascasarjana - PMB UTama</t>
  </si>
  <si>
    <t>Program Pascasarjana Widyatama Bandung untuk Pengembangan Karier, Riset, dan Kepakaran</t>
  </si>
  <si>
    <t>Masih membandingkan S2, S3, atau program profesi?</t>
  </si>
  <si>
    <t>Mulai Langkah Studi Pascasarjana di Widyatama</t>
  </si>
  <si>
    <t>2f64f1d152046fa82dfa3568f4e801d5</t>
  </si>
  <si>
    <t>Saturday, 15-Aug-2026 09:56:37 GMT</t>
  </si>
  <si>
    <t>https://pmb.widyatama.ac.id/cek-jalur-pendaftaran/</t>
  </si>
  <si>
    <t>Cek Jalur Pendaftaran - PMB UTama</t>
  </si>
  <si>
    <t>Kalkulator Jalur &amp; Beasiswa PMB Universitas Widyatama</t>
  </si>
  <si>
    <t>Gunakan hasil simulasi untuk menentukan langkah pendaftaran berikutnya.</t>
  </si>
  <si>
    <t>Gunakan Data yang Sudah Dimiliki Calon Mahasiswa</t>
  </si>
  <si>
    <t>5190830b49f82338c8a28484ea38b206</t>
  </si>
  <si>
    <t>Saturday, 15-Aug-2026 09:56:46 GMT</t>
  </si>
  <si>
    <t>https://pmb.widyatama.ac.id/program-reguler/</t>
  </si>
  <si>
    <t>Program Reguler - PMB UTama</t>
  </si>
  <si>
    <t>Program Reguler Widyatama Bandung: Kuliah D3, D4, dan S1 untuk Lulusan SMA/SMK/MA</t>
  </si>
  <si>
    <t>Masih bingung memilih prodi, jalur, atau estimasi biaya?</t>
  </si>
  <si>
    <t>Mulai Rencanakan Kuliah Reguler di Widyatama</t>
  </si>
  <si>
    <t>ee53e78bd236478123b92c94ffa2f6c9</t>
  </si>
  <si>
    <t>0.119</t>
  </si>
  <si>
    <t>Saturday, 15-Aug-2026 09:56:40 GMT</t>
  </si>
  <si>
    <t>https://pmb.widyatama.ac.id/program-kelas-karyawan/</t>
  </si>
  <si>
    <t>Program Kelas Karyawan - PMB UTama</t>
  </si>
  <si>
    <t>Program Kelas Karyawan Widyatama Bandung untuk Kuliah Sambil Kerja</t>
  </si>
  <si>
    <t>Masih ragu jadwal kuliah cocok dengan pekerjaan Anda?</t>
  </si>
  <si>
    <t>Mulai Langkah Naik Level Karier dengan Kelas Karyawan Widyatama</t>
  </si>
  <si>
    <t>16880b60e16c1d453dda67e1bcbdce3f</t>
  </si>
  <si>
    <t>Saturday, 15-Aug-2026 09:56:49 GMT</t>
  </si>
  <si>
    <t>https://pmb.widyatama.ac.id/pengumuman-hasil-seleksi/</t>
  </si>
  <si>
    <t>https://pmb.widyatama.ac.id/fasilitas/</t>
  </si>
  <si>
    <t>Fasilitas - PMB UTama</t>
  </si>
  <si>
    <t>Fasilitas Universitas Widyatama</t>
  </si>
  <si>
    <t>Lingkungan kampus dirancang untuk mendukung belajar, berkolaborasi, dan berkembang.</t>
  </si>
  <si>
    <t>Jelajahi Fasilitas Berdasarkan Kebutuhan</t>
  </si>
  <si>
    <t>31247a5ea2b419d3d9f136a97c7c14b8</t>
  </si>
  <si>
    <t>0.954</t>
  </si>
  <si>
    <t>Saturday, 15-Aug-2026 09:56:51 GMT</t>
  </si>
  <si>
    <t>https://pmb.widyatama.ac.id/cek-kelulusan/</t>
  </si>
  <si>
    <t>https://pmb.widyatama.ac.id/registrasi/</t>
  </si>
  <si>
    <t>https://pmb.widyatama.ac.id/jalur-seleksi/</t>
  </si>
  <si>
    <t>Jalur Seleksi - PMB UTama</t>
  </si>
  <si>
    <t>Jalur Seleksi Universitas Widyatama</t>
  </si>
  <si>
    <t>Pilih jenjang dulu, lalu bandingkan jalur yang tersedia.</t>
  </si>
  <si>
    <t>Jalur Mana yang Ingin Anda Lihat?</t>
  </si>
  <si>
    <t>7883d95a0ab8b109078fff5ef7bd12d7</t>
  </si>
  <si>
    <t>0.077</t>
  </si>
  <si>
    <t>Saturday, 15-Aug-2026 09:56:42 GMT</t>
  </si>
  <si>
    <t>https://pmb.widyatama.ac.id/biaya-kuliah-rpl/</t>
  </si>
  <si>
    <t>Biaya Kuliah RPL - PMB UTama</t>
  </si>
  <si>
    <t>Biaya Kuliah RPL Widyatama Bandung 2026/2027</t>
  </si>
  <si>
    <t>RPL membuat biaya lebih relevan dengan SKS yang masih perlu ditempuh</t>
  </si>
  <si>
    <t>Simulasi Biaya Program RPL</t>
  </si>
  <si>
    <t>31f1b50eafcdb354522e04346ff010a2</t>
  </si>
  <si>
    <t>0.105</t>
  </si>
  <si>
    <t>Saturday, 15-Aug-2026 09:57:10 GMT</t>
  </si>
  <si>
    <t>https://pmb.widyatama.ac.id/apresiasi-prestasi-mahasiswa/</t>
  </si>
  <si>
    <t>Apresiasi Prestasi Mahasiswa - PMB UTama</t>
  </si>
  <si>
    <t>Apresiasi Prestasi Mahasiswa Universitas Widyatama</t>
  </si>
  <si>
    <t>Apresiasi ini berlaku setelah mahasiswa resmi menjadi mahasiswa aktif.</t>
  </si>
  <si>
    <t>Prestasi Mahasiswa Aktif Mendapat Ruang Apresiasi</t>
  </si>
  <si>
    <t>D</t>
  </si>
  <si>
    <t>51b9b0d68db4c797a121cfb6826fb407</t>
  </si>
  <si>
    <t>Saturday, 15-Aug-2026 09:57:44 GMT</t>
  </si>
  <si>
    <t>https://pmb.widyatama.ac.id/asuransi-mahasiswa/</t>
  </si>
  <si>
    <t>Asuransi Mahasiswa - PMB UTama</t>
  </si>
  <si>
    <t>Asuransi Mahasiswa Universitas Widyatama</t>
  </si>
  <si>
    <t>Asuransi dapat dimanfaatkan ketika terjadi hal yang tidak diinginkan selama masa studi.</t>
  </si>
  <si>
    <t>Perlindungan untuk Mahasiswa Selama Masa Studi</t>
  </si>
  <si>
    <t>334fa0a13988bb75399b726be597ea7c</t>
  </si>
  <si>
    <t>0.554</t>
  </si>
  <si>
    <t>Saturday, 15-Aug-2026 09:57:46 GMT</t>
  </si>
  <si>
    <t>https://pmb.widyatama.ac.id/organisasi-kemahasiswaan/</t>
  </si>
  <si>
    <t>Organisasi Kemahasiswaan - PMB UTama</t>
  </si>
  <si>
    <t>UKM Paduan Suara Mahasiswa Utama PSM</t>
  </si>
  <si>
    <t>UKM Winner Cabaret</t>
  </si>
  <si>
    <t>Berbagai Organisasi Kemahasiswaan di Universitas Widyatama</t>
  </si>
  <si>
    <t>bd54fa5c8ebf3c9246e268b55731aacb</t>
  </si>
  <si>
    <t>0.492</t>
  </si>
  <si>
    <t>Saturday, 15-Aug-2026 09:57:49 GMT</t>
  </si>
  <si>
    <t>https://pmb.widyatama.ac.id/jalur-seleksi-unggulan/</t>
  </si>
  <si>
    <t>Jalur Seleksi Unggulan - PMB UTama</t>
  </si>
  <si>
    <t>Jalur Seleksi Beasiswa Unggulan Diploma &amp; Sarjana</t>
  </si>
  <si>
    <t>Jalur beasiswa bagi siswa dengan capaian akademik baik dan peluang seleksi yang lebih luas.</t>
  </si>
  <si>
    <t>Jalur Unggulan Cocok untuk Calon Mahasiswa dengan Prestasi Baik dan Konsisten</t>
  </si>
  <si>
    <t>1996915f334b55010d2ae4f3d9ae5f69</t>
  </si>
  <si>
    <t>0.572</t>
  </si>
  <si>
    <t>Saturday, 15-Aug-2026 09:57:51 GMT</t>
  </si>
  <si>
    <t>https://pmb.widyatama.ac.id/jalur-reguler-pendidikan-profesi/</t>
  </si>
  <si>
    <t>Jalur Reguler Pendidikan Profesi - PMB UTama</t>
  </si>
  <si>
    <t>Jalur Pendidikan Profesi Program Profesi Akuntan (PPAk)</t>
  </si>
  <si>
    <t>Siapkan diri menjadi akuntan profesional dengan kompetensi yang diakui secara formal.</t>
  </si>
  <si>
    <t>PPAk Cocok untuk Lulusan S1/D4 yang Ingin Menguatkan Kompetensi Profesi Akuntan</t>
  </si>
  <si>
    <t>2eca1756c989ea42ac242ed0f86f9af2</t>
  </si>
  <si>
    <t>0.237</t>
  </si>
  <si>
    <t>Saturday, 15-Aug-2026 09:57:50 GMT</t>
  </si>
  <si>
    <t>https://pmb.widyatama.ac.id/jalur-pasca-reguler-maksi/</t>
  </si>
  <si>
    <t>Jalur Pasca Reguler MAKSI - PMB UTama</t>
  </si>
  <si>
    <t>Jalur Pascasarjana Reguler Magister Akuntansi (MAKSI)</t>
  </si>
  <si>
    <t>Perkuat keahlian audit, perpajakan, keuangan, dan akuntansi manajerial strategis.</t>
  </si>
  <si>
    <t>Program MAKSI Cocok untuk Lulusan Sarjana yang Ingin Memperkuat Kompetensi Akuntansi Profesional</t>
  </si>
  <si>
    <t>81b5055f1f40c4d9e8fd6b3192455263</t>
  </si>
  <si>
    <t>Saturday, 15-Aug-2026 09:58:21 GMT</t>
  </si>
  <si>
    <t>https://pmb.widyatama.ac.id/jalur-pasca-reguler-mm/</t>
  </si>
  <si>
    <t>Jalur Pasca Reguler MM - PMB UTama</t>
  </si>
  <si>
    <t>Jalur Pascasarjana Reguler Magister Manajemen (MM)</t>
  </si>
  <si>
    <t>Perkuat kompetensi manajerial, kepemimpinan, dan keputusan bisnis strategis.</t>
  </si>
  <si>
    <t>Program MM Cocok untuk Lulusan Sarjana yang Ingin Naik Kelas secara Manajerial</t>
  </si>
  <si>
    <t>ac878136340036da068952bef56c350c</t>
  </si>
  <si>
    <t>https://pmb.widyatama.ac.id/jalur-seleksi-mandiri/</t>
  </si>
  <si>
    <t>Jalur Seleksi Mandiri - PMB UTama</t>
  </si>
  <si>
    <t>Jalur Seleksi Beasiswa Mandiri Diploma &amp; Sarjana</t>
  </si>
  <si>
    <t>Kesempatan strategis bagi calon mahasiswa yang ingin tetap bergabung pada tahun akademik berjalan.</t>
  </si>
  <si>
    <t>Jalur Mandiri Cocok untuk Calon Mahasiswa yang Masih Ingin Bergabung di Tahap Akhir PMB</t>
  </si>
  <si>
    <t>f642e847b9453ecc9a95b1a008a327b8</t>
  </si>
  <si>
    <t>0.324</t>
  </si>
  <si>
    <t>Saturday, 15-Aug-2026 09:59:16 GMT</t>
  </si>
  <si>
    <t>https://pmb.widyatama.ac.id/jalur-seleksi-pmdk/</t>
  </si>
  <si>
    <t>Jalur Seleksi PMDK - PMB UTama</t>
  </si>
  <si>
    <t>Jalur Seleksi Beasiswa PMDK Diploma &amp; Sarjana</t>
  </si>
  <si>
    <t>Seleksi berbasis rekam jejak akademik, tanpa tes tertulis.</t>
  </si>
  <si>
    <t>Jalur PMDK Cocok untuk Siswa dengan Prestasi Akademik Stabil</t>
  </si>
  <si>
    <t>10ba975958da0bb9be83f54a2a27d928</t>
  </si>
  <si>
    <t>0.422</t>
  </si>
  <si>
    <t>Saturday, 15-Aug-2026 09:59:15 GMT</t>
  </si>
  <si>
    <t>https://pmb.widyatama.ac.id/jalur-seleksi-utama/</t>
  </si>
  <si>
    <t>Jalur Seleksi UTama - PMB UTama</t>
  </si>
  <si>
    <t>Jalur Seleksi Beasiswa UTama Diploma &amp; Sarjana</t>
  </si>
  <si>
    <t>Beasiswa penuh untuk siswa dengan capaian akademik tertinggi.</t>
  </si>
  <si>
    <t>Jalur UTama Ditujukan bagi Calon Mahasiswa dengan Prestasi Akademik Sangat Tinggi</t>
  </si>
  <si>
    <t>7aae4c375f577f690baf8d20f7c69fbc</t>
  </si>
  <si>
    <t>0.415</t>
  </si>
  <si>
    <t>Saturday, 15-Aug-2026 09:59:17 GMT</t>
  </si>
  <si>
    <t>https://pmb.widyatama.ac.id/jalur-doktoral-reguler/</t>
  </si>
  <si>
    <t>Jalur Doktoral Reguler - PMB UTama</t>
  </si>
  <si>
    <t>Jalur Doktoral Reguler Universitas Widyatama</t>
  </si>
  <si>
    <t>Bangun kontribusi ilmiah melalui penelitian yang terstruktur, mendalam, dan berdampak.</t>
  </si>
  <si>
    <t>Jalur Doktoral Cocok untuk Lulusan Magister yang Siap Mengembangkan Riset Mandiri</t>
  </si>
  <si>
    <t>3de904ab07eebaf17ea60b500da2c80d</t>
  </si>
  <si>
    <t>Saturday, 15-Aug-2026 09:59:20 GMT</t>
  </si>
  <si>
    <t>https://pmb.widyatama.ac.id/jalur-seleksi-reguler/</t>
  </si>
  <si>
    <t>Jalur Seleksi Reguler - PMB UTama</t>
  </si>
  <si>
    <t>Jalur Seleksi Reguler</t>
  </si>
  <si>
    <t>Jalur Seleksi Reguler Universitas Widyatama</t>
  </si>
  <si>
    <t>Jalur utama dengan pilihan metode seleksi yang fleksibel.</t>
  </si>
  <si>
    <t>Jalur Reguler Cocok untuk Calon Mahasiswa yang Ingin Proses Seleksi Lebih Fleksibel</t>
  </si>
  <si>
    <t>c8221f55253f18672aeca85225f26ded</t>
  </si>
  <si>
    <t>0.153</t>
  </si>
  <si>
    <t>https://pmb.widyatama.ac.id/jalur-seleksi-khusus/</t>
  </si>
  <si>
    <t>Jalur Seleksi Khusus - PMB UTama</t>
  </si>
  <si>
    <t>Jalur Seleksi Beasiswa Khusus Diploma &amp; Sarjana</t>
  </si>
  <si>
    <t>Temukan kategori beasiswa yang paling sesuai dengan latar belakang atau prestasi Anda.</t>
  </si>
  <si>
    <t>Jalur Khusus Cocok untuk Calon Mahasiswa dengan Kriteria atau Latar Belakang Tertentu</t>
  </si>
  <si>
    <t>a68ac334863a6abb09583bad6224ca3b</t>
  </si>
  <si>
    <t>0.133</t>
  </si>
  <si>
    <t>Saturday, 15-Aug-2026 09:59:35 GMT</t>
  </si>
  <si>
    <t>https://pmb.widyatama.ac.id/program-studi/digital-library-information-science-s1/</t>
  </si>
  <si>
    <t>https://pmb.widyatama.ac.id/program-studi/desain-grafis-d4/</t>
  </si>
  <si>
    <t>https://pmb.widyatama.ac.id/biaya-kuliah-kelas-reguler-2/</t>
  </si>
  <si>
    <t>https://pmb.widyatama.ac.id/jalur-seleksi-prioritas/</t>
  </si>
  <si>
    <t>Jalur Seleksi Prioritas - PMB UTama</t>
  </si>
  <si>
    <t>Jalur Seleksi Beasiswa Prioritas Diploma &amp; Sarjana</t>
  </si>
  <si>
    <t>Jalur strategis untuk siswa unggul yang ingin mengamankan kursi lebih dini.</t>
  </si>
  <si>
    <t>Jalur Prioritas Cocok untuk Calon Mahasiswa Unggul yang Ingin Kepastian Lebih Awal</t>
  </si>
  <si>
    <t>5af8da9339be00b734e11f8923f5fb4</t>
  </si>
  <si>
    <t>Saturday, 15-Aug-2026 09:59:41 GMT</t>
  </si>
  <si>
    <t>https://online.pmb.widyatama.ac.id/language-switch/en</t>
  </si>
  <si>
    <t>Found</t>
  </si>
  <si>
    <t>Redirected</t>
  </si>
  <si>
    <t>0.609</t>
  </si>
  <si>
    <t>HTTP Redirect</t>
  </si>
  <si>
    <t>https://online.pmb.widyatama.ac.id/register/fst</t>
  </si>
  <si>
    <t>Form Register PMB Fast Track</t>
  </si>
  <si>
    <t>Very Easy</t>
  </si>
  <si>
    <t>826f104343ca1c1b199b42dfa794895</t>
  </si>
  <si>
    <t>https://online.pmb.widyatama.ac.id/register/kk</t>
  </si>
  <si>
    <t>Form Register PMB Kelas Sore</t>
  </si>
  <si>
    <t>9b236e2868913c710fb0b14916adbf45</t>
  </si>
  <si>
    <t>0.793</t>
  </si>
  <si>
    <t>https://online.pmb.widyatama.ac.id/language-switch/id</t>
  </si>
  <si>
    <t>0.132</t>
  </si>
  <si>
    <t>https://online.pmb.widyatama.ac.id/register/s3</t>
  </si>
  <si>
    <t>Form Register PMB Doktor</t>
  </si>
  <si>
    <t>48c36cfe6956a8bdb30e341c7f028870</t>
  </si>
  <si>
    <t>https://pmb.widyatama.ac.id/aktivitas-civitas/3/</t>
  </si>
  <si>
    <t>Canonicalised</t>
  </si>
  <si>
    <t>6dbfb716d9f2bfbb7bea23dcc3eb9870</t>
  </si>
  <si>
    <t>Saturday, 15-Aug-2026 09:59:56 GMT</t>
  </si>
  <si>
    <t>https://pmb.widyatama.ac.id/aktivitas-civitas/2/</t>
  </si>
  <si>
    <t>The Hidden Dangers of Sugar</t>
  </si>
  <si>
    <t>36cbf18c6f4d38ef216bbfb1c8e44663</t>
  </si>
  <si>
    <t>https://online.pmb.widyatama.ac.id/auth/login</t>
  </si>
  <si>
    <t>Pengisian Formulir PMB</t>
  </si>
  <si>
    <t>Silahkan login</t>
  </si>
  <si>
    <t>Normal</t>
  </si>
  <si>
    <t>ed4d0258aae1b4b49d8eaf73f890be46</t>
  </si>
  <si>
    <t>0.124</t>
  </si>
  <si>
    <t>https://pmb.widyatama.ac.id/blog/page/2/</t>
  </si>
  <si>
    <t>https://pmb.widyatama.ac.id/democracy-in-indonesia-why-it-feels-weak-at-the-grassroots/</t>
  </si>
  <si>
    <t>Democracy in Indonesia: Why It Feels Weak at the Grassroots - PMB UTama</t>
  </si>
  <si>
    <t>Jenjang Pendidikan</t>
  </si>
  <si>
    <t>Blog Details</t>
  </si>
  <si>
    <t>fb15a308345710681d75211d4bf4f97e</t>
  </si>
  <si>
    <t>0.211</t>
  </si>
  <si>
    <t>Saturday, 15-Aug-2026 10:00:11 GMT</t>
  </si>
  <si>
    <t>https://pmb.widyatama.ac.id/2025/09/19/</t>
  </si>
  <si>
    <t>noindex</t>
  </si>
  <si>
    <t>September 19, 2025 - PMB UTama</t>
  </si>
  <si>
    <t>noindex, follow</t>
  </si>
  <si>
    <t>2d56936a353f7aec2e92b6a5b66da2b4</t>
  </si>
  <si>
    <t>Saturday, 15-Aug-2026 10:00:19 GMT</t>
  </si>
  <si>
    <t>https://pmb.widyatama.ac.id/democracy-in-indonesia-why-it-feels-weak-at-the-grassroots-4/</t>
  </si>
  <si>
    <t>7d9d9da8e4a205ec375b478e0e12c50e</t>
  </si>
  <si>
    <t>Saturday, 15-Aug-2026 10:00:26 GMT</t>
  </si>
  <si>
    <t>https://pmb.widyatama.ac.id/the-hidden-dangers-of-sugar-3/</t>
  </si>
  <si>
    <t>The Hidden Dangers of Sugar - PMB UTama</t>
  </si>
  <si>
    <t>5c76467da62fd46561f334cf6cb79653</t>
  </si>
  <si>
    <t>0.474</t>
  </si>
  <si>
    <t>Saturday, 15-Aug-2026 10:00:14 GMT</t>
  </si>
  <si>
    <t>https://pmb.widyatama.ac.id/democracy-in-indonesia-why-it-feels-weak-at-the-grassroots-2/</t>
  </si>
  <si>
    <t>73adb2362ca9d40aca9c7f3807aa2265</t>
  </si>
  <si>
    <t>Saturday, 15-Aug-2026 10:00:28 GMT</t>
  </si>
  <si>
    <t>https://pmb.widyatama.ac.id/the-hidden-dangers-of-sugar-2/</t>
  </si>
  <si>
    <t>7254cbd5f63f3643118fec7d17abb386</t>
  </si>
  <si>
    <t>Saturday, 15-Aug-2026 10:00:44 GMT</t>
  </si>
  <si>
    <t>https://pmb.widyatama.ac.id/the-hidden-dangers-of-sugar/</t>
  </si>
  <si>
    <t>8d28d54a96869d35d40897ef1a52f946</t>
  </si>
  <si>
    <t>Saturday, 15-Aug-2026 10:00:45 GMT</t>
  </si>
  <si>
    <t>https://pmb.widyatama.ac.id/the-rapid-advancement-of-digital-technology/</t>
  </si>
  <si>
    <t>The Rapid Advancement of Digital Technology - PMB UTama</t>
  </si>
  <si>
    <t>edf34583d38e9588eec46e076e5cbbc7</t>
  </si>
  <si>
    <t>Saturday, 15-Aug-2026 10:00:43 GMT</t>
  </si>
  <si>
    <t>https://pmb.widyatama.ac.id/the-rapid-advancement-of-digital-technology-2/</t>
  </si>
  <si>
    <t>de50338135b618cb81c819f33a8c9036</t>
  </si>
  <si>
    <t>https://pmb.widyatama.ac.id/democracy-in-indonesia-why-it-feels-weak-at-the-grassroots-3/</t>
  </si>
  <si>
    <t>acd045fd1f1d5631be2f912a27fce49</t>
  </si>
  <si>
    <t>Saturday, 15-Aug-2026 10:00:48 GMT</t>
  </si>
  <si>
    <t>https://pmb.widyatama.ac.id/program-studi/doktor-ilmu-manajemen/</t>
  </si>
  <si>
    <t>Doktor Ilmu Manajemen - PMB UTama</t>
  </si>
  <si>
    <t>Doktor Ilmu Manajemen S3</t>
  </si>
  <si>
    <t>Fakultas Pascasarjana</t>
  </si>
  <si>
    <t>10af3709841bffdcf7e1041e0f49e6b5</t>
  </si>
  <si>
    <t>Saturday, 15-Aug-2026 10:02:50 GMT</t>
  </si>
  <si>
    <t>https://pmb.widyatama.ac.id/program-studi/program-profesi-akuntansi/</t>
  </si>
  <si>
    <t>Program Profesi Akuntansi - PMB UTama</t>
  </si>
  <si>
    <t>Pendidikan Profesi Akuntansi (PPAk)</t>
  </si>
  <si>
    <t>Pendidikan Profesi Akuntansi (PPAK)</t>
  </si>
  <si>
    <t>333b286f3029a2bb02f2144522f0ecfa</t>
  </si>
  <si>
    <t>Saturday, 15-Aug-2026 10:03:15 GMT</t>
  </si>
  <si>
    <t>https://pmb.widyatama.ac.id/program-studi/magister-manajemen/</t>
  </si>
  <si>
    <t>0.268</t>
  </si>
  <si>
    <t>https://pmb.widyatama.ac.id/jalur-seleksi-asing-reguler/</t>
  </si>
  <si>
    <t>0.042</t>
  </si>
  <si>
    <t>https://pmb.widyatama.ac.id/program-studi/magister-akuntansi/</t>
  </si>
  <si>
    <t>Magister Akuntansi - PMB UTama</t>
  </si>
  <si>
    <t>Magister Akuntansi S2</t>
  </si>
  <si>
    <t>Fakultas Pascasarjan</t>
  </si>
  <si>
    <t>f42b22f9f642f048bc379521407510cb</t>
  </si>
  <si>
    <t>Saturday, 15-Aug-2026 10:03:39 GMT</t>
  </si>
  <si>
    <t>https://pmb.widyatama.ac.id/program-kelas-karyawan-2/</t>
  </si>
  <si>
    <t>https://online.pmb.widyatama.ac.id/register/rpl</t>
  </si>
  <si>
    <t>Form Register PMB Rekognisi Pembelajaran Lampau</t>
  </si>
  <si>
    <t>895a02a08a79d6bb4acd88240a876fab</t>
  </si>
  <si>
    <t>0.320</t>
  </si>
  <si>
    <t>https://online.pmb.widyatama.ac.id/register/reg</t>
  </si>
  <si>
    <t>Form Register PMB Kelas Pagi</t>
  </si>
  <si>
    <t>e921f872689df737e2be23834495fd0d</t>
  </si>
  <si>
    <t>0.230</t>
  </si>
  <si>
    <t>https://pmb.widyatama.ac.id/program-studi/perdagangan-internasional-s1/</t>
  </si>
  <si>
    <t>0.043</t>
  </si>
  <si>
    <t>https://online.pmb.widyatama.ac.id/register/sps</t>
  </si>
  <si>
    <t>Form Register PMB Pascasarjana</t>
  </si>
  <si>
    <t>9e738ca6fda9cb5ba154f61e33b482ea</t>
  </si>
  <si>
    <t>0.285</t>
  </si>
  <si>
    <t>https://pmb.widyatama.ac.id/program-studi/pendidikan-profesi-akuntansi/</t>
  </si>
  <si>
    <t>https://pmb.widyatama.ac.id/jalur-seleksi-mahasiswa-asing-international/</t>
  </si>
  <si>
    <t>Jalur Seleksi Mahasiswa Asing UTama International Scholarship - PMB UTama</t>
  </si>
  <si>
    <t>Jalur Seleksi Beasiswa UTama International Scholarship</t>
  </si>
  <si>
    <t>Kesempatan studi bagi mahasiswa internasional berprestasi untuk bergabung di Universitas Widyatama.</t>
  </si>
  <si>
    <t>Jalur Ini Cocok untuk Mahasiswa Internasional Berprestasi yang Ingin Studi di Indonesia</t>
  </si>
  <si>
    <t>c67a80db4cb43abdd795a90346000696</t>
  </si>
  <si>
    <t>Saturday, 15-Aug-2026 10:03:53 GMT</t>
  </si>
  <si>
    <t>https://pmb.widyatama.ac.id/program-studi/magister-manajemen-s2/</t>
  </si>
  <si>
    <t>https://pmb.widyatama.ac.id/program-studi/teknik-mesin-s1/</t>
  </si>
  <si>
    <t>Teknik Mesin S1 - PMB UTama</t>
  </si>
  <si>
    <t>Machinery in the Aviation Industry</t>
  </si>
  <si>
    <t>Fakultas Teknik</t>
  </si>
  <si>
    <t>Teknik Mesin S1</t>
  </si>
  <si>
    <t>d023a4cfa838044fc62efa782aa59d92</t>
  </si>
  <si>
    <t>0.085</t>
  </si>
  <si>
    <t>Saturday, 15-Aug-2026 10:04:00 GMT</t>
  </si>
  <si>
    <t>https://pmb.widyatama.ac.id/program-studi/branding-design-strategy-d4/</t>
  </si>
  <si>
    <t>Desain Grafis D4 - PMB UTama</t>
  </si>
  <si>
    <t>Branding Design Strategy D4</t>
  </si>
  <si>
    <t>Fakultas Desain Komunikasi Visual</t>
  </si>
  <si>
    <t>5ed180918d3b456880f5b44038f09db0</t>
  </si>
  <si>
    <t>https://pmb.widyatama.ac.id/program-studi/bahasa-jepang-s1/</t>
  </si>
  <si>
    <t>Bahasa Jepang S1 - PMB UTama</t>
  </si>
  <si>
    <t>Fluent in Japanese as an Industrial Translator &amp; Interpreter</t>
  </si>
  <si>
    <t>Fakultas Ilmu Budaya</t>
  </si>
  <si>
    <t>Bahasa Jepang S1</t>
  </si>
  <si>
    <t>cc2d96ec232718151ec24b9b54ae65aa</t>
  </si>
  <si>
    <t>0.083</t>
  </si>
  <si>
    <t>Saturday, 15-Aug-2026 10:04:01 GMT</t>
  </si>
  <si>
    <t>https://pmb.widyatama.ac.id/program-studi/magister-akuntansi-s2/</t>
  </si>
  <si>
    <t>https://pmb.widyatama.ac.id/program-studi/japanese-for-business-and-tourism-d3/</t>
  </si>
  <si>
    <t>Bahasa Jepang D3 - PMB UTama</t>
  </si>
  <si>
    <t>Japanese for Business Management D3</t>
  </si>
  <si>
    <t>77a0cd5788c0b46163c561ce5fd40ea9</t>
  </si>
  <si>
    <t>Saturday, 15-Aug-2026 10:04:09 GMT</t>
  </si>
  <si>
    <t>https://pmb.widyatama.ac.id/program-studi/teknik-sipil-s1/</t>
  </si>
  <si>
    <t>Teknik Sipil S1 - PMB UTama</t>
  </si>
  <si>
    <t>Infrastructure and Innovation for Resilient Society</t>
  </si>
  <si>
    <t>Teknik Sipil S1</t>
  </si>
  <si>
    <t>2bd6a2472655e9273756f2629240a369</t>
  </si>
  <si>
    <t>0.082</t>
  </si>
  <si>
    <t>https://pmb.widyatama.ac.id/program-studi/manajemen-sumber-daya-manusia-s1/</t>
  </si>
  <si>
    <t>Manajemen Sumber Daya Manusia S1 - PMB UTama</t>
  </si>
  <si>
    <t>Human Capital Management</t>
  </si>
  <si>
    <t>Fakultas Ekonomi Bisnis</t>
  </si>
  <si>
    <t>Manajemen Sumber Daya Manusia S1</t>
  </si>
  <si>
    <t>8a6329cc25dd08b4985f9082b19bb713</t>
  </si>
  <si>
    <t>Saturday, 15-Aug-2026 10:04:13 GMT</t>
  </si>
  <si>
    <t>https://pmb.widyatama.ac.id/program-studi/manajemen-s3/</t>
  </si>
  <si>
    <t>Moved Permanently</t>
  </si>
  <si>
    <t>Saturday, 15-Aug-2026 10:04:27 GMT</t>
  </si>
  <si>
    <t>https://pmb.widyatama.ac.id/wp-content/uploads/2025/09/manajemen-s3.jpg</t>
  </si>
  <si>
    <t>https://pmb.widyatama.ac.id/program-studi/manajemen-operasional-s1/</t>
  </si>
  <si>
    <t>Manajemen Operasional S1 - PMB UTama</t>
  </si>
  <si>
    <t>Operations Management</t>
  </si>
  <si>
    <t>Manajemen Operasional S1</t>
  </si>
  <si>
    <t>411b241434918f0e9cd194202648df00</t>
  </si>
  <si>
    <t>0.092</t>
  </si>
  <si>
    <t>Saturday, 15-Aug-2026 10:04:22 GMT</t>
  </si>
  <si>
    <t>https://pmb.widyatama.ac.id/program-studi/manajemen-kewirausahaan-s1/</t>
  </si>
  <si>
    <t>Manajemen Kewirausahaan S1 - PMB UTama</t>
  </si>
  <si>
    <t>Entrepreneurship Management</t>
  </si>
  <si>
    <t>Manajemen Kewirausahaan S1</t>
  </si>
  <si>
    <t>9405b777056457009722ab84906ad4e2</t>
  </si>
  <si>
    <t>0.078</t>
  </si>
  <si>
    <t>https://pmb.widyatama.ac.id/program-studi/teknik-industri-s1/</t>
  </si>
  <si>
    <t>Teknik Industri S1 - PMB UTama</t>
  </si>
  <si>
    <t>Industrial Engineering &amp; Sustainable Innovation</t>
  </si>
  <si>
    <t>Teknik Industri S1</t>
  </si>
  <si>
    <t>61922efa29009b4962ee39a2057f6014</t>
  </si>
  <si>
    <t>0.458</t>
  </si>
  <si>
    <t>https://pmb.widyatama.ac.id/program-studi/manajemen-keuangan-s1/</t>
  </si>
  <si>
    <t>Manajemen Keuangan S1 - PMB UTama</t>
  </si>
  <si>
    <t>Digital Finance Management</t>
  </si>
  <si>
    <t>Manajemen Keuangan S1</t>
  </si>
  <si>
    <t>6d2680b7e38ca2f8069f965f8ecdb71a</t>
  </si>
  <si>
    <t>Saturday, 15-Aug-2026 10:04:23 GMT</t>
  </si>
  <si>
    <t>https://pmb.widyatama.ac.id/program-studi/sistem-informasi-s1/</t>
  </si>
  <si>
    <t>Sistem Informasi S1 - PMB UTama</t>
  </si>
  <si>
    <t>Information System and Digital Transformation</t>
  </si>
  <si>
    <t>Sistem Informasi S1</t>
  </si>
  <si>
    <t>84fc9d398901adee3f6f1e769f300860</t>
  </si>
  <si>
    <t>Saturday, 15-Aug-2026 10:04:28 GMT</t>
  </si>
  <si>
    <t>https://pmb.widyatama.ac.id/program-studi/teknik-informatika-s1/</t>
  </si>
  <si>
    <t>Teknik Informatika S1 - PMB UTama</t>
  </si>
  <si>
    <t>Informatics and Cyber Security</t>
  </si>
  <si>
    <t>Teknik Informatika S1</t>
  </si>
  <si>
    <t>2941d15f23ec28d0edf07add91667480</t>
  </si>
  <si>
    <t>0.089</t>
  </si>
  <si>
    <t>Saturday, 15-Aug-2026 10:04:34 GMT</t>
  </si>
  <si>
    <t>https://pmb.widyatama.ac.id/program-studi/akuntansi-s1/</t>
  </si>
  <si>
    <t>Akuntansi S1 - PMB UTama</t>
  </si>
  <si>
    <t>Professional Accountant</t>
  </si>
  <si>
    <t>Akuntansi S1</t>
  </si>
  <si>
    <t>8d00b16cbdb6f6c49f888d573b36ab82</t>
  </si>
  <si>
    <t>0.084</t>
  </si>
  <si>
    <t>Saturday, 15-Aug-2026 10:04:35 GMT</t>
  </si>
  <si>
    <t>https://pmb.widyatama.ac.id/program-studi/creative-business-management-d3/</t>
  </si>
  <si>
    <t>Manajemen D3 - PMB UTama</t>
  </si>
  <si>
    <t>Creative Business Management</t>
  </si>
  <si>
    <t>Creative Business Management D3</t>
  </si>
  <si>
    <t>b00e31adda5248e771e951f3292e2ce2</t>
  </si>
  <si>
    <t>https://pmb.widyatama.ac.id/program-studi/film-and-television-production-d4/</t>
  </si>
  <si>
    <t>Film and Television Production D4 - PMB UTama</t>
  </si>
  <si>
    <t>Film, TV &amp; Digital Media Production D4</t>
  </si>
  <si>
    <t>Fakultas Ilmu Sosial Ilmu Politik</t>
  </si>
  <si>
    <t>Film and Television Production D4</t>
  </si>
  <si>
    <t>3a752af06d07a7435da2f1f4099cca47</t>
  </si>
  <si>
    <t>0.166</t>
  </si>
  <si>
    <t>https://pmb.widyatama.ac.id/program-studi/manajemen-pemasaran-s1/</t>
  </si>
  <si>
    <t>Manajemen Pemasaran S1 - PMB UTama</t>
  </si>
  <si>
    <t>Digital Marketing Management</t>
  </si>
  <si>
    <t>Manajemen Pemasaran S1</t>
  </si>
  <si>
    <t>2fa61228dbbd733be2ffbf866f86bb05</t>
  </si>
  <si>
    <t>Saturday, 15-Aug-2026 10:04:42 GMT</t>
  </si>
  <si>
    <t>https://pmb.widyatama.ac.id/program-studi/perpustakaan-sains-informasi-s1/</t>
  </si>
  <si>
    <t>Perpustakaan dan Sains Informasi S1 - PMB UTama</t>
  </si>
  <si>
    <t>Digital Library &amp; Information Science using 70% Tech-based Curriculum</t>
  </si>
  <si>
    <t>Perpustakaan &amp; Sains Informasi S1</t>
  </si>
  <si>
    <t>ceee67e2c5ccd634a6ad98200d70ebce</t>
  </si>
  <si>
    <t>Saturday, 15-Aug-2026 10:04:46 GMT</t>
  </si>
  <si>
    <t>https://pmb.widyatama.ac.id/program-studi/bahasa-inggris-s1/</t>
  </si>
  <si>
    <t>Bahasa Inggris S1 - PMB UTama</t>
  </si>
  <si>
    <t>English for Diplomatic Purposes and Tourism</t>
  </si>
  <si>
    <t>Bahasa Inggris S1</t>
  </si>
  <si>
    <t>cfba9300554d96e4820943418e4ae07</t>
  </si>
  <si>
    <t>Saturday, 15-Aug-2026 10:04:47 GMT</t>
  </si>
  <si>
    <t>https://pmb.widyatama.ac.id/program-studi/digital-accounting-d3/</t>
  </si>
  <si>
    <t>Digital Accounting D3 (Akuntansi D3) - PMB UTama</t>
  </si>
  <si>
    <t>Digital Accounting</t>
  </si>
  <si>
    <t>Digital Accounting D3</t>
  </si>
  <si>
    <t>b53a95f4d81a0a57446997d52af8f429</t>
  </si>
  <si>
    <t>Saturday, 15-Aug-2026 10:04:49 GMT</t>
  </si>
  <si>
    <t>https://pmb.widyatama.ac.id/program-studi/teknik-elektro-s1/</t>
  </si>
  <si>
    <t>Teknik Elektro S1 - PMB UTama</t>
  </si>
  <si>
    <t>Electrical and Smart Automation Engineering</t>
  </si>
  <si>
    <t>Teknik Elektro S1</t>
  </si>
  <si>
    <t>32939f18ac1963b9494266b12ae55f8d</t>
  </si>
  <si>
    <t>Saturday, 15-Aug-2026 10:04:51 GMT</t>
  </si>
  <si>
    <t>https://online.pmb.widyatama.ac.id/hasil</t>
  </si>
  <si>
    <t>Hasil Seleksi</t>
  </si>
  <si>
    <t>Fairly Hard</t>
  </si>
  <si>
    <t>7e49c6c7cce56c953d6e4af64c44bd5e</t>
  </si>
  <si>
    <t>0.176</t>
  </si>
  <si>
    <t>https://pmb.widyatama.ac.id/foreign-students/</t>
  </si>
  <si>
    <t>https://pmb.widyatama.ac.id/program-studi/interactive-multimedia-d3/</t>
  </si>
  <si>
    <t>Multimedia D3 - PMB UTama</t>
  </si>
  <si>
    <t>Interactive Multimedia D3</t>
  </si>
  <si>
    <t>8c48b5080d7ca9e2d0f7a4080eef09a8</t>
  </si>
  <si>
    <t>Saturday, 15-Aug-2026 10:04:56 GMT</t>
  </si>
  <si>
    <t>https://pmb.widyatama.ac.id/2025/09/19/page/2/</t>
  </si>
  <si>
    <t>https://online.pmb.widyatama.ac.id/auth/forgot_password</t>
  </si>
  <si>
    <t>Lupa Password</t>
  </si>
  <si>
    <t>dbd4391ff49965f31d88f4dca297e767</t>
  </si>
  <si>
    <t>0.116</t>
  </si>
  <si>
    <t>https://pmb.widyatama.ac.id/category/science-and-technology/</t>
  </si>
  <si>
    <t>Science and Technology Archives - PMB UTama</t>
  </si>
  <si>
    <t>d39d316f49f20d216d05d0fa7bf646f4</t>
  </si>
  <si>
    <t>Saturday, 15-Aug-2026 10:05:12 GMT</t>
  </si>
  <si>
    <t>https://pmb.widyatama.ac.id/category/medicine/</t>
  </si>
  <si>
    <t>Medicine Archives - PMB UTama</t>
  </si>
  <si>
    <t>fcd934a35a71210bf074ff3365aaaaff</t>
  </si>
  <si>
    <t>https://pmb.widyatama.ac.id/category/law-and-policy/</t>
  </si>
  <si>
    <t>Law and Policy Archives - PMB UTama</t>
  </si>
  <si>
    <t>ada90af5e0d508811c4002193997db99</t>
  </si>
  <si>
    <t>Saturday, 15-Aug-2026 10:05:13 GMT</t>
  </si>
  <si>
    <t>https://pmb.widyatama.ac.id/category/science-and-technology/page/2/</t>
  </si>
  <si>
    <t>0.831</t>
  </si>
  <si>
    <t>https://pmb.widyatama.ac.id/2025/09/13/</t>
  </si>
  <si>
    <t>September 13, 2025 - PMB UTama</t>
  </si>
  <si>
    <t>96fee2ad61e87726271d8c3df800faa0</t>
  </si>
  <si>
    <t>Saturday, 15-Aug-2026 10:05:18 GMT</t>
  </si>
  <si>
    <t>https://pmb.widyatama.ac.id/category/medicine/page/2/</t>
  </si>
  <si>
    <t>https://pmb.widyatama.ac.id/category/law-and-policy/page/2/</t>
  </si>
  <si>
    <t>https://pmb.widyatama.ac.id/2025/09/13/page/2/</t>
  </si>
  <si>
    <t>Row Labels</t>
  </si>
  <si>
    <t>Grand Total</t>
  </si>
  <si>
    <t>Count of Status Code</t>
  </si>
  <si>
    <t>Count of Indexability</t>
  </si>
  <si>
    <t>Metric</t>
  </si>
  <si>
    <t>Count</t>
  </si>
  <si>
    <t>Total HTML URLs</t>
  </si>
  <si>
    <t>Percentage</t>
  </si>
  <si>
    <t>200 OK</t>
  </si>
  <si>
    <t>301 Permanent Redirect</t>
  </si>
  <si>
    <t>302 Temporary Redirect</t>
  </si>
  <si>
    <t>403 Forbidden</t>
  </si>
  <si>
    <t>404 Not Found</t>
  </si>
  <si>
    <t>HTTP Status Detail</t>
  </si>
  <si>
    <t>Successful URLs (2xx)</t>
  </si>
  <si>
    <t>Redirect URLs (3xx)</t>
  </si>
  <si>
    <t>Client Error URLs (4xx)</t>
  </si>
  <si>
    <t>Server Error URLs (5xx)</t>
  </si>
  <si>
    <t>Indexable URLs</t>
  </si>
  <si>
    <t>Non-Indexable URLs</t>
  </si>
  <si>
    <t>Non-Indexable Reason Analysis</t>
  </si>
  <si>
    <t>Reason</t>
  </si>
  <si>
    <t>Non-Indexable Reason Ranking</t>
  </si>
  <si>
    <t>Marketing Interpretation</t>
  </si>
  <si>
    <t>Action Priority</t>
  </si>
  <si>
    <t>Short Label</t>
  </si>
  <si>
    <t>Halaman Tidak Dapat Diakses</t>
  </si>
  <si>
    <t>Redirect ke Halaman Lain</t>
  </si>
  <si>
    <t>Halaman Duplikat</t>
  </si>
  <si>
    <t>Tidak Ditampilkan di Pencarian</t>
  </si>
  <si>
    <t>Marketing Priority Label</t>
  </si>
  <si>
    <t>Display Label</t>
  </si>
  <si>
    <t>Based on 36 non-indexable URLs</t>
  </si>
  <si>
    <t xml:space="preserve"> WEBSITE PMB WIDYATAMA — WEBSITE HEALTH </t>
  </si>
  <si>
    <t>Initial Website Crawl Assessment — 119 Internal HTML URLs</t>
  </si>
  <si>
    <t>Active URLs (200)</t>
  </si>
  <si>
    <t>200 + Indexable</t>
  </si>
  <si>
    <t>200 + Non-Indexable</t>
  </si>
  <si>
    <t>URL</t>
  </si>
  <si>
    <t>Page Type</t>
  </si>
  <si>
    <t>Total</t>
  </si>
  <si>
    <t>Other URLs</t>
  </si>
  <si>
    <t>Other Count</t>
  </si>
  <si>
    <t>Site Scope</t>
  </si>
  <si>
    <t>Include Speed Test</t>
  </si>
  <si>
    <t>First Slug</t>
  </si>
  <si>
    <t>First Slug Summary</t>
  </si>
  <si>
    <t>Refined Page Type</t>
  </si>
  <si>
    <t>Refined Page Type Summary</t>
  </si>
  <si>
    <t>URL Count</t>
  </si>
  <si>
    <t>Final Page Type</t>
  </si>
  <si>
    <t>Final Page Type Summary</t>
  </si>
  <si>
    <t>Other Review URLs</t>
  </si>
  <si>
    <t>Second Slug</t>
  </si>
  <si>
    <t>Resolved Page Type</t>
  </si>
  <si>
    <t>Final Page Type v2</t>
  </si>
  <si>
    <t>Content Review URLs</t>
  </si>
  <si>
    <t>Page Title</t>
  </si>
  <si>
    <t>Content Relevance Status</t>
  </si>
  <si>
    <t>Content Relevance Summary</t>
  </si>
  <si>
    <t>Speed Test Segment</t>
  </si>
  <si>
    <t>Test Priority</t>
  </si>
  <si>
    <t>Test Priority Summary</t>
  </si>
  <si>
    <t>Page_ID</t>
  </si>
  <si>
    <t>Page_Title</t>
  </si>
  <si>
    <t>Status_Code</t>
  </si>
  <si>
    <t>Indexability_Status</t>
  </si>
  <si>
    <t>Site_Scope</t>
  </si>
  <si>
    <t>Final_Page_Type</t>
  </si>
  <si>
    <t>Speed_Test_Segment</t>
  </si>
  <si>
    <t>Include_Speed_Test</t>
  </si>
  <si>
    <t>Test_Priority</t>
  </si>
  <si>
    <t>Quality Check</t>
  </si>
  <si>
    <t>Result</t>
  </si>
  <si>
    <t>Total URL</t>
  </si>
  <si>
    <t>Blank URL</t>
  </si>
  <si>
    <t>Unique URL</t>
  </si>
  <si>
    <t>Duplicate URL</t>
  </si>
  <si>
    <t>Blank Page_ID</t>
  </si>
  <si>
    <t>Blank Page_Title</t>
  </si>
  <si>
    <t>Blank Status_Code</t>
  </si>
  <si>
    <t>Blank Indexability</t>
  </si>
  <si>
    <t>Non-Indexable Missing Status</t>
  </si>
  <si>
    <t>Blank Site_Scope</t>
  </si>
  <si>
    <t>Blank Final_Page_Type</t>
  </si>
  <si>
    <t>Blank Speed_Test_Segment</t>
  </si>
  <si>
    <t>Blank Include_Speed_Test</t>
  </si>
  <si>
    <t>Blank Test_Priority</t>
  </si>
  <si>
    <t>Content Review Wrong Segment</t>
  </si>
  <si>
    <t>Content Audit Wrong Page Type</t>
  </si>
  <si>
    <t>Registration Wrong Segment</t>
  </si>
  <si>
    <t>Speed Test Inclusion Error</t>
  </si>
  <si>
    <t>Content Audit Wrong Priority</t>
  </si>
  <si>
    <t>P4 Wrong Segment</t>
  </si>
  <si>
    <t>FINAL QC STATUS</t>
  </si>
  <si>
    <t>SEO TITLE REVIEW</t>
  </si>
  <si>
    <t>P001</t>
  </si>
  <si>
    <t>Main PMB Website</t>
  </si>
  <si>
    <t>Homepage</t>
  </si>
  <si>
    <t>Core PMB Website</t>
  </si>
  <si>
    <t>Yes</t>
  </si>
  <si>
    <t>P1 - Critical</t>
  </si>
  <si>
    <t>P002</t>
  </si>
  <si>
    <t>Admission</t>
  </si>
  <si>
    <t>P003</t>
  </si>
  <si>
    <t>Information</t>
  </si>
  <si>
    <t>P2 - High</t>
  </si>
  <si>
    <t>P004</t>
  </si>
  <si>
    <t>Policy</t>
  </si>
  <si>
    <t>P3 - Standard</t>
  </si>
  <si>
    <t>P005</t>
  </si>
  <si>
    <t>P006</t>
  </si>
  <si>
    <t>Pricing</t>
  </si>
  <si>
    <t>P007</t>
  </si>
  <si>
    <t>International</t>
  </si>
  <si>
    <t>P008</t>
  </si>
  <si>
    <t>P009</t>
  </si>
  <si>
    <t>Campaign</t>
  </si>
  <si>
    <t>P010</t>
  </si>
  <si>
    <t>Program</t>
  </si>
  <si>
    <t>P011</t>
  </si>
  <si>
    <t>P012</t>
  </si>
  <si>
    <t>P013</t>
  </si>
  <si>
    <t>Content</t>
  </si>
  <si>
    <t>P014</t>
  </si>
  <si>
    <t>P015</t>
  </si>
  <si>
    <t>Online Registration System</t>
  </si>
  <si>
    <t>Registration System</t>
  </si>
  <si>
    <t>P016</t>
  </si>
  <si>
    <t>Campus Life</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</si>
  <si>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</si>
  <si>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</si>
  <si>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</si>
  <si>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</si>
  <si>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</si>
  <si>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</si>
  <si>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</si>
  <si>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</si>
  <si>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</si>
  <si>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</si>
  <si>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</si>
  <si>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</si>
  <si>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</si>
  <si>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</si>
  <si>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</si>
  <si>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</si>
  <si>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</si>
  <si>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</si>
  <si>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</si>
  <si>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</si>
  <si>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</si>
  <si>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</si>
  <si>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</si>
  <si>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</si>
  <si>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</si>
  <si>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</si>
  <si>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</si>
  <si>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</si>
  <si>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Content Review</t>
  </si>
  <si>
    <t>Content Audit</t>
  </si>
  <si>
    <t>P4 - Content Audit</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</si>
  <si>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</si>
  <si>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</si>
  <si>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</si>
  <si>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</si>
  <si>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</si>
  <si>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</si>
  <si>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</si>
  <si>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</si>
  <si>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</si>
  <si>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</si>
  <si>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</si>
  <si>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</si>
  <si>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</si>
  <si>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</si>
  <si>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</si>
  <si>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</si>
  <si>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</si>
  <si>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</si>
  <si>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</si>
  <si>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</si>
  <si>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</si>
  <si>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</si>
  <si>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</si>
  <si>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</si>
  <si>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</si>
  <si>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</si>
  <si>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</si>
  <si>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</si>
  <si>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</si>
  <si>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</si>
  <si>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</si>
  <si>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</si>
  <si>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</si>
  <si>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</si>
  <si>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</si>
  <si>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</si>
  <si>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</si>
  <si>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</si>
  <si>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</si>
  <si>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</si>
  <si>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Content Archive</t>
  </si>
  <si>
    <t>P085</t>
  </si>
  <si>
    <t>P086</t>
  </si>
  <si>
    <t>P087</t>
  </si>
  <si>
    <t>Baseline_ID</t>
  </si>
  <si>
    <t>Snapshot_Date</t>
  </si>
  <si>
    <t>Analysis_Phase</t>
  </si>
  <si>
    <t>BL_20260821</t>
  </si>
  <si>
    <t>BEFORE</t>
  </si>
  <si>
    <t>Test_ID</t>
  </si>
  <si>
    <t>Device</t>
  </si>
  <si>
    <t>Total Test Jobs</t>
  </si>
  <si>
    <t>Unique Test_ID</t>
  </si>
  <si>
    <t>Quality Check Page_ID × Device</t>
  </si>
  <si>
    <t>Unique Page-Device</t>
  </si>
  <si>
    <t>Duplicate Page-Device</t>
  </si>
  <si>
    <t>Unique Page_ID</t>
  </si>
  <si>
    <t>Mobile Jobs</t>
  </si>
  <si>
    <t>Desktop Jobs</t>
  </si>
  <si>
    <t>Page_ID Pair Error</t>
  </si>
  <si>
    <t>T001</t>
  </si>
  <si>
    <t>mobile</t>
  </si>
  <si>
    <t>T002</t>
  </si>
  <si>
    <t>desktop</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</si>
  <si>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</si>
  <si>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</si>
  <si>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</si>
  <si>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</si>
  <si>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</si>
  <si>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</si>
  <si>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</si>
  <si>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</si>
  <si>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</si>
  <si>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</si>
  <si>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</si>
  <si>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</si>
  <si>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</si>
  <si>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</si>
  <si>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</si>
  <si>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</si>
  <si>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</si>
  <si>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</si>
  <si>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</si>
  <si>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</si>
  <si>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</si>
  <si>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</si>
  <si>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</si>
  <si>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</si>
  <si>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</si>
  <si>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</si>
  <si>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</si>
  <si>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T030</t>
  </si>
  <si>
    <t>T031</t>
  </si>
  <si>
    <t>T032</t>
  </si>
  <si>
    <t>T033</t>
  </si>
  <si>
    <t>T034</t>
  </si>
  <si>
    <t>T035</t>
  </si>
  <si>
    <t>T036</t>
  </si>
  <si>
    <t>T037</t>
  </si>
  <si>
    <t>T038</t>
  </si>
  <si>
    <t>T039</t>
  </si>
  <si>
    <t>T040</t>
  </si>
  <si>
    <t>T041</t>
  </si>
  <si>
    <t>T042</t>
  </si>
  <si>
    <t>T043</t>
  </si>
  <si>
    <t>T044</t>
  </si>
  <si>
    <t>T045</t>
  </si>
  <si>
    <t>T046</t>
  </si>
  <si>
    <t>T047</t>
  </si>
  <si>
    <t>T048</t>
  </si>
  <si>
    <t>T049</t>
  </si>
  <si>
    <t>T050</t>
  </si>
  <si>
    <t>T051</t>
  </si>
  <si>
    <t>T052</t>
  </si>
  <si>
    <t>T053</t>
  </si>
  <si>
    <t>T054</t>
  </si>
  <si>
    <t>T055</t>
  </si>
  <si>
    <t>T056</t>
  </si>
  <si>
    <t>T057</t>
  </si>
  <si>
    <t>T058</t>
  </si>
  <si>
    <t>T059</t>
  </si>
  <si>
    <t>T060</t>
  </si>
  <si>
    <t>T061</t>
  </si>
  <si>
    <t>T062</t>
  </si>
  <si>
    <t>T063</t>
  </si>
  <si>
    <t>T064</t>
  </si>
  <si>
    <t>T065</t>
  </si>
  <si>
    <t>T066</t>
  </si>
  <si>
    <t>T067</t>
  </si>
  <si>
    <t>T068</t>
  </si>
  <si>
    <t>T069</t>
  </si>
  <si>
    <t>T070</t>
  </si>
  <si>
    <t>T071</t>
  </si>
  <si>
    <t>T072</t>
  </si>
  <si>
    <t>T073</t>
  </si>
  <si>
    <t>T074</t>
  </si>
  <si>
    <t>T075</t>
  </si>
  <si>
    <t>T076</t>
  </si>
  <si>
    <t>T077</t>
  </si>
  <si>
    <t>T078</t>
  </si>
  <si>
    <t>T079</t>
  </si>
  <si>
    <t>T080</t>
  </si>
  <si>
    <t>T081</t>
  </si>
  <si>
    <t>T082</t>
  </si>
  <si>
    <t>T083</t>
  </si>
  <si>
    <t>T084</t>
  </si>
  <si>
    <t>T085</t>
  </si>
  <si>
    <t>T086</t>
  </si>
  <si>
    <t>T087</t>
  </si>
  <si>
    <t>T088</t>
  </si>
  <si>
    <t>T089</t>
  </si>
  <si>
    <t>T090</t>
  </si>
  <si>
    <t>T091</t>
  </si>
  <si>
    <t>T092</t>
  </si>
  <si>
    <t>T093</t>
  </si>
  <si>
    <t>T094</t>
  </si>
  <si>
    <t>T095</t>
  </si>
  <si>
    <t>T096</t>
  </si>
  <si>
    <t>T097</t>
  </si>
  <si>
    <t>T098</t>
  </si>
  <si>
    <t>T099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</si>
  <si>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</si>
  <si>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</si>
  <si>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</si>
  <si>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</si>
  <si>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</si>
  <si>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</si>
  <si>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</si>
  <si>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</si>
  <si>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</si>
  <si>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</si>
  <si>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</si>
  <si>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</si>
  <si>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</si>
  <si>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</si>
  <si>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</si>
  <si>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</si>
  <si>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</si>
  <si>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</si>
  <si>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</si>
  <si>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</si>
  <si>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</si>
  <si>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</si>
  <si>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</si>
  <si>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</si>
  <si>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</si>
  <si>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</si>
  <si>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</si>
  <si>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</si>
  <si>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</si>
  <si>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</si>
  <si>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</si>
  <si>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</si>
  <si>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</si>
  <si>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</si>
  <si>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</si>
  <si>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</si>
  <si>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</si>
  <si>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</si>
  <si>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</si>
  <si>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</si>
  <si>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</si>
  <si>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</si>
  <si>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</si>
  <si>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</si>
  <si>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</si>
  <si>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</si>
  <si>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</si>
  <si>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</si>
  <si>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</si>
  <si>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</si>
  <si>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</si>
  <si>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</si>
  <si>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</si>
  <si>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</si>
  <si>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</si>
  <si>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</si>
  <si>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</si>
  <si>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</si>
  <si>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</si>
  <si>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</si>
  <si>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</si>
  <si>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</si>
  <si>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</si>
  <si>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</si>
  <si>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</si>
  <si>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</si>
  <si>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</si>
  <si>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</si>
  <si>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</si>
  <si>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</si>
  <si>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</si>
  <si>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</si>
  <si>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</si>
  <si>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</si>
  <si>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</si>
  <si>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Performance</t>
  </si>
  <si>
    <t>Accessibility</t>
  </si>
  <si>
    <t>Best_Practices</t>
  </si>
  <si>
    <t>SEO</t>
  </si>
  <si>
    <t>FCP</t>
  </si>
  <si>
    <t>LCP</t>
  </si>
  <si>
    <t>CLS</t>
  </si>
  <si>
    <t>Speed_Index</t>
  </si>
  <si>
    <t>TBT</t>
  </si>
  <si>
    <t>Test_Date</t>
  </si>
  <si>
    <t/>
  </si>
  <si>
    <t>SUCCESS</t>
  </si>
  <si>
    <t>Mobile_Performance</t>
  </si>
  <si>
    <t>Desktop_Performance</t>
  </si>
  <si>
    <t>Performance_Gap</t>
  </si>
  <si>
    <t>Mobile_LCP</t>
  </si>
  <si>
    <t>Desktop_LCP</t>
  </si>
  <si>
    <t>LCP_Gap</t>
  </si>
  <si>
    <t>Mobile_FCP</t>
  </si>
  <si>
    <t>Desktop_FCP</t>
  </si>
  <si>
    <t>Mobile_TBT</t>
  </si>
  <si>
    <t>Mobile_CLS</t>
  </si>
  <si>
    <t>Optimization_Priority</t>
  </si>
  <si>
    <t>Main_Issue</t>
  </si>
  <si>
    <t>Recommendation</t>
  </si>
  <si>
    <t>2026-08-27 00:20:06</t>
  </si>
  <si>
    <t>2026-08-27 00:20:40</t>
  </si>
  <si>
    <t>2026-08-27 00:21:09</t>
  </si>
  <si>
    <t>2026-08-27 00:21:39</t>
  </si>
  <si>
    <t>2026-08-27 00:22:06</t>
  </si>
  <si>
    <t>2026-08-27 00:22:29</t>
  </si>
  <si>
    <t>2026-08-27 00:22:57</t>
  </si>
  <si>
    <t>2026-08-27 00:23:21</t>
  </si>
  <si>
    <t>2026-08-27 00:23:50</t>
  </si>
  <si>
    <t>2026-08-27 00:24:21</t>
  </si>
  <si>
    <t>2026-08-27 00:24:48</t>
  </si>
  <si>
    <t>2026-08-27 00:25:16</t>
  </si>
  <si>
    <t>2026-08-27 00:25:46</t>
  </si>
  <si>
    <t>2026-08-27 00:26:10</t>
  </si>
  <si>
    <t>2026-08-27 00:26:40</t>
  </si>
  <si>
    <t>2026-08-27 00:27:08</t>
  </si>
  <si>
    <t>2026-08-27 00:27:36</t>
  </si>
  <si>
    <t>2026-08-27 00:28:01</t>
  </si>
  <si>
    <t>2026-08-27 00:28:29</t>
  </si>
  <si>
    <t>2026-08-27 00:28:56</t>
  </si>
  <si>
    <t>2026-08-27 00:29:22</t>
  </si>
  <si>
    <t>2026-08-27 00:29:54</t>
  </si>
  <si>
    <t>2026-08-27 00:30:24</t>
  </si>
  <si>
    <t>2026-08-27 00:30:55</t>
  </si>
  <si>
    <t>2026-08-27 00:31:24</t>
  </si>
  <si>
    <t>2026-08-27 00:31:51</t>
  </si>
  <si>
    <t>2026-08-27 00:32:17</t>
  </si>
  <si>
    <t>2026-08-27 00:32:44</t>
  </si>
  <si>
    <t>2026-08-27 00:33:02</t>
  </si>
  <si>
    <t>2026-08-27 00:33:20</t>
  </si>
  <si>
    <t>2026-08-27 00:33:49</t>
  </si>
  <si>
    <t>2026-08-27 00:34:14</t>
  </si>
  <si>
    <t>2026-08-27 00:34:45</t>
  </si>
  <si>
    <t>2026-08-27 00:35:12</t>
  </si>
  <si>
    <t>2026-08-27 00:35:40</t>
  </si>
  <si>
    <t>2026-08-27 00:36:05</t>
  </si>
  <si>
    <t>2026-08-27 00:36:31</t>
  </si>
  <si>
    <t>2026-08-27 00:37:00</t>
  </si>
  <si>
    <t>2026-08-27 00:37:26</t>
  </si>
  <si>
    <t>2026-08-27 00:37:58</t>
  </si>
  <si>
    <t>2026-08-27 00:38:23</t>
  </si>
  <si>
    <t>2026-08-27 00:38:52</t>
  </si>
  <si>
    <t>2026-08-27 00:39:20</t>
  </si>
  <si>
    <t>2026-08-27 00:39:46</t>
  </si>
  <si>
    <t>2026-08-27 00:40:22</t>
  </si>
  <si>
    <t>2026-08-27 00:40:49</t>
  </si>
  <si>
    <t>2026-08-27 00:41:15</t>
  </si>
  <si>
    <t>2026-08-27 00:41:39</t>
  </si>
  <si>
    <t>2026-08-27 00:42:14</t>
  </si>
  <si>
    <t>2026-08-27 00:42:38</t>
  </si>
  <si>
    <t>2026-08-27 00:43:09</t>
  </si>
  <si>
    <t>2026-08-27 00:43:41</t>
  </si>
  <si>
    <t>2026-08-27 00:44:06</t>
  </si>
  <si>
    <t>2026-08-27 00:44:30</t>
  </si>
  <si>
    <t>2026-08-27 00:44:56</t>
  </si>
  <si>
    <t>2026-08-27 00:45:23</t>
  </si>
  <si>
    <t>2026-08-27 00:45:49</t>
  </si>
  <si>
    <t>2026-08-27 00:46:13</t>
  </si>
  <si>
    <t>2026-08-27 00:46:39</t>
  </si>
  <si>
    <t>2026-08-27 00:47:07</t>
  </si>
  <si>
    <t>2026-08-27 00:47:37</t>
  </si>
  <si>
    <t>2026-08-27 00:48:01</t>
  </si>
  <si>
    <t>2026-08-27 00:48:27</t>
  </si>
  <si>
    <t>2026-08-27 00:48:49</t>
  </si>
  <si>
    <t>2026-08-27 00:49:13</t>
  </si>
  <si>
    <t>2026-08-27 00:49:38</t>
  </si>
  <si>
    <t>2026-08-27 00:50:04</t>
  </si>
  <si>
    <t>2026-08-27 00:50:29</t>
  </si>
  <si>
    <t>2026-08-27 00:50:56</t>
  </si>
  <si>
    <t>2026-08-27 00:51:22</t>
  </si>
  <si>
    <t>2026-08-27 00:51:48</t>
  </si>
  <si>
    <t>2026-08-27 00:52:17</t>
  </si>
  <si>
    <t>2026-08-27 00:52:52</t>
  </si>
  <si>
    <t>2026-08-27 00:53:19</t>
  </si>
  <si>
    <t>2026-08-27 00:53:36</t>
  </si>
  <si>
    <t>2026-08-27 00:53:55</t>
  </si>
  <si>
    <t>2026-08-27 00:54:15</t>
  </si>
  <si>
    <t>2026-08-27 00:54:34</t>
  </si>
  <si>
    <t>2026-08-27 00:54:53</t>
  </si>
  <si>
    <t>2026-08-27 00:55:13</t>
  </si>
  <si>
    <t>2026-08-27 00:55:38</t>
  </si>
  <si>
    <t>2026-08-27 00:56:01</t>
  </si>
  <si>
    <t>2026-08-27 00:56:28</t>
  </si>
  <si>
    <t>2026-08-27 00:56:53</t>
  </si>
  <si>
    <t>2026-08-27 00:57:09</t>
  </si>
  <si>
    <t>2026-08-27 00:57:27</t>
  </si>
  <si>
    <t>2026-08-27 00:57:55</t>
  </si>
  <si>
    <t>2026-08-27 00:58:20</t>
  </si>
  <si>
    <t>2026-08-27 00:58:49</t>
  </si>
  <si>
    <t>2026-08-27 00:59:17</t>
  </si>
  <si>
    <t>2026-08-27 00:59:42</t>
  </si>
  <si>
    <t>2026-08-27 01:00:06</t>
  </si>
  <si>
    <t>2026-08-27 01:00:32</t>
  </si>
  <si>
    <t>2026-08-27 01:00:59</t>
  </si>
  <si>
    <t>2026-08-27 01:01:27</t>
  </si>
  <si>
    <t>2026-08-27 01:01:55</t>
  </si>
  <si>
    <t>2026-08-27 01:02:21</t>
  </si>
  <si>
    <t>2026-08-27 01:02:50</t>
  </si>
  <si>
    <t>2026-08-27 01:03:13</t>
  </si>
  <si>
    <t>2026-08-27 01:03:46</t>
  </si>
  <si>
    <t>2026-08-27 01:04:13</t>
  </si>
  <si>
    <t>2026-08-27 01:04:38</t>
  </si>
  <si>
    <t>2026-08-27 01:05:08</t>
  </si>
  <si>
    <t>2026-08-27 01:05:33</t>
  </si>
  <si>
    <t>2026-08-27 01:05:59</t>
  </si>
  <si>
    <t>2026-08-27 01:06:24</t>
  </si>
  <si>
    <t>2026-08-27 01:06:49</t>
  </si>
  <si>
    <t>2026-08-27 01:07:14</t>
  </si>
  <si>
    <t>2026-08-27 01:07:46</t>
  </si>
  <si>
    <t>2026-08-27 01:08:16</t>
  </si>
  <si>
    <t>2026-08-27 01:08:43</t>
  </si>
  <si>
    <t>2026-08-27 01:09:06</t>
  </si>
  <si>
    <t>2026-08-27 01:09:22</t>
  </si>
  <si>
    <t>2026-08-27 01:09:42</t>
  </si>
  <si>
    <t>2026-08-27 01:10:02</t>
  </si>
  <si>
    <t>2026-08-27 01:10:19</t>
  </si>
  <si>
    <t>2026-08-27 01:10:36</t>
  </si>
  <si>
    <t>2026-08-27 01:10:54</t>
  </si>
  <si>
    <t>2026-08-27 01:11:19</t>
  </si>
  <si>
    <t>2026-08-27 01:11:44</t>
  </si>
  <si>
    <t>2026-08-27 01:12:08</t>
  </si>
  <si>
    <t>2026-08-27 01:12:34</t>
  </si>
  <si>
    <t>2026-08-27 01:13:02</t>
  </si>
  <si>
    <t>2026-08-27 01:13:27</t>
  </si>
  <si>
    <t>2026-08-27 01:13:53</t>
  </si>
  <si>
    <t>2026-08-27 01:14:17</t>
  </si>
  <si>
    <t>2026-08-27 01:14:44</t>
  </si>
  <si>
    <t>2026-08-27 01:15:15</t>
  </si>
  <si>
    <t>2026-08-27 01:15:39</t>
  </si>
  <si>
    <t>2026-08-27 01:16:02</t>
  </si>
  <si>
    <t>2026-08-27 01:16:28</t>
  </si>
  <si>
    <t>2026-08-27 01:16:52</t>
  </si>
  <si>
    <t>2026-08-27 01:17:21</t>
  </si>
  <si>
    <t>2026-08-27 01:17:49</t>
  </si>
  <si>
    <t>2026-08-27 01:18:18</t>
  </si>
  <si>
    <t>2026-08-27 01:18:46</t>
  </si>
  <si>
    <t>2026-08-27 01:19:11</t>
  </si>
  <si>
    <t>2026-08-27 01:19:34</t>
  </si>
  <si>
    <t>2026-08-27 01:19:59</t>
  </si>
  <si>
    <t>2026-08-27 01:20:25</t>
  </si>
  <si>
    <t>2026-08-27 01:20:54</t>
  </si>
  <si>
    <t>2026-08-27 01:21:21</t>
  </si>
  <si>
    <t>2026-08-27 01:21:47</t>
  </si>
  <si>
    <t>2026-08-27 01:22:15</t>
  </si>
  <si>
    <t>2026-08-27 01:22:43</t>
  </si>
  <si>
    <t>2026-08-27 01:23:10</t>
  </si>
  <si>
    <t>2026-08-27 01:23:34</t>
  </si>
  <si>
    <t>2026-08-27 01:23:59</t>
  </si>
  <si>
    <t>2026-08-27 01:24:30</t>
  </si>
  <si>
    <t>2026-08-27 01:24:56</t>
  </si>
  <si>
    <t>2026-08-27 01:25:23</t>
  </si>
  <si>
    <t>2026-08-27 01:25:51</t>
  </si>
  <si>
    <t>2026-08-27 01:26:18</t>
  </si>
  <si>
    <t>2026-08-27 01:26:45</t>
  </si>
  <si>
    <t>2026-08-27 01:27:13</t>
  </si>
  <si>
    <t>2026-08-27 01:27:38</t>
  </si>
  <si>
    <t>2026-08-27 01:28:03</t>
  </si>
  <si>
    <t>2026-08-27 01:28:28</t>
  </si>
  <si>
    <t>2026-08-27 01:28:59</t>
  </si>
  <si>
    <t>2026-08-27 01:29:27</t>
  </si>
  <si>
    <t>2026-08-27 01:29:43</t>
  </si>
  <si>
    <t>2026-08-27 01:30:01</t>
  </si>
  <si>
    <t>2026-08-27 01:30:36</t>
  </si>
  <si>
    <t>2026-08-27 01:31:00</t>
  </si>
  <si>
    <t>2026-08-27 01:31:16</t>
  </si>
  <si>
    <t>2026-08-27 01:31:33</t>
  </si>
  <si>
    <t>2026-08-27 01:32:01</t>
  </si>
  <si>
    <t>2026-08-27 01:32:24</t>
  </si>
  <si>
    <t>2026-08-27 01:33:06</t>
  </si>
  <si>
    <t>2026-08-27 01:33:36</t>
  </si>
  <si>
    <t>2026-08-27 01:34:03</t>
  </si>
  <si>
    <t>2026-08-27 01:34:30</t>
  </si>
  <si>
    <t>2026-08-27 01:35:00</t>
  </si>
  <si>
    <t>2026-08-27 01:35:26</t>
  </si>
  <si>
    <t>Performance_Score</t>
  </si>
  <si>
    <t>LCP_Score</t>
  </si>
  <si>
    <t>TBT_Score</t>
  </si>
  <si>
    <t>Mobile_Gap_Score</t>
  </si>
  <si>
    <t>Technical_Severity</t>
  </si>
  <si>
    <t>Final_Ranking</t>
  </si>
  <si>
    <t>Action_Priority</t>
  </si>
  <si>
    <t>KPI</t>
  </si>
  <si>
    <t>Formula</t>
  </si>
  <si>
    <t>Total Pages Audited</t>
  </si>
  <si>
    <t>Critical Pages</t>
  </si>
  <si>
    <t>High Priority Pages</t>
  </si>
  <si>
    <t>Average Mobile Score</t>
  </si>
  <si>
    <t>Average Desktop Score</t>
  </si>
  <si>
    <t>Average LCP Mobile</t>
  </si>
  <si>
    <t>WEBSITE PERFORMANCE AUDIT
PMB WIDYATAMA
Baseline Analysis 2026</t>
  </si>
  <si>
    <t>Mobile</t>
  </si>
  <si>
    <t>Desktop</t>
  </si>
  <si>
    <t>Score</t>
  </si>
  <si>
    <t>Priority</t>
  </si>
  <si>
    <t>Jumlah</t>
  </si>
  <si>
    <t>Low</t>
  </si>
  <si>
    <t>Rank</t>
  </si>
  <si>
    <t>Page</t>
  </si>
  <si>
    <t>Immediate Fix</t>
  </si>
  <si>
    <t>Optimization Required</t>
  </si>
  <si>
    <t>Monitor</t>
  </si>
  <si>
    <t>Value</t>
  </si>
  <si>
    <t>Good (&lt;2.5s)</t>
  </si>
  <si>
    <t>Needs Improvement</t>
  </si>
  <si>
    <t>Poor (&gt;4s)</t>
  </si>
  <si>
    <t>Business_Weight</t>
  </si>
  <si>
    <t>Combined_Priority</t>
  </si>
  <si>
    <t>Root_Cause_Status</t>
  </si>
  <si>
    <t>Pending Diagnostic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</si>
</sst>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3809]dd/mm/yyyy;@"/>
    <numFmt numFmtId="165" formatCode="0.00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sz val="10"/>
      <color theme="1"/>
      <name val="Times New Roman"/>
      <family val="1"/>
    </font>
    <font>
      <b/>
      <sz val="22"/>
      <color theme="1"/>
      <name val="Times New Roman"/>
      <family val="1"/>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3" fontId="0" fillId="0" borderId="0" xfId="0" applyNumberFormat="1"/>
    <xf numFmtId="22"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vertical="center"/>
    </xf>
    <xf numFmtId="9" fontId="0" fillId="0" borderId="0" xfId="1" applyFont="1"/>
    <xf numFmtId="10" fontId="0" fillId="0" borderId="0" xfId="0" applyNumberFormat="1"/>
    <xf numFmtId="10" fontId="0" fillId="0" borderId="0" xfId="1" applyNumberFormat="1" applyFont="1"/>
    <xf numFmtId="0" fontId="18" fillId="0" borderId="0" xfId="0" applyFont="1"/>
    <xf numFmtId="164" fontId="18" fillId="0" borderId="0" xfId="0" applyNumberFormat="1" applyFont="1"/>
    <xf numFmtId="164" fontId="0" fillId="0" borderId="0" xfId="0" applyNumberFormat="1"/>
    <xf numFmtId="2" fontId="0" fillId="0" borderId="0" xfId="0" applyNumberFormat="1"/>
    <xf numFmtId="1" fontId="0" fillId="0" borderId="0" xfId="0" applyNumberFormat="1"/>
    <xf numFmtId="165" fontId="0" fillId="0" borderId="0" xfId="0" applyNumberFormat="1"/>
    <xf numFmtId="0" fontId="21" fillId="0" borderId="0" xfId="0" applyFont="1" applyAlignment="1">
      <alignment horizontal="center" wrapText="1"/>
    </xf>
    <xf numFmtId="0" fontId="21" fillId="0" borderId="0" xfId="0" applyFont="1" applyAlignment="1">
      <alignment horizontal="center"/>
    </xf>
    <xf numFmtId="0" fontId="0" fillId="0" borderId="0" xfId="0" applyAlignment="1">
      <alignment horizontal="center"/>
    </xf>
    <xf numFmtId="0" fontId="20" fillId="0" borderId="0" xfId="0" applyFont="1" applyAlignment="1">
      <alignment horizontal="center" vertical="center"/>
    </xf>
    <xf numFmtId="0" fontId="19" fillId="0" borderId="0" xfId="0"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3">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3809]dd/mm/yyyy;@"/>
    </dxf>
    <dxf>
      <numFmt numFmtId="27" formatCode="dd/mm/yyyy\ hh:mm"/>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D"/>
              <a:t>Website Health Overview</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31991710411198593"/>
          <c:y val="0.16708333333333336"/>
          <c:w val="0.36016601049868768"/>
          <c:h val="0.60027668416447943"/>
        </c:manualLayout>
      </c:layout>
      <c:doughnut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9F9-4B18-8B87-5A57238B869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9F9-4B18-8B87-5A57238B869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9F9-4B18-8B87-5A57238B869C}"/>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9F9-4B18-8B87-5A57238B86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DATA_PROFILE!$A$12:$A$15</c:f>
              <c:strCache>
                <c:ptCount val="4"/>
                <c:pt idx="0">
                  <c:v>Successful URLs (2xx)</c:v>
                </c:pt>
                <c:pt idx="1">
                  <c:v>Redirect URLs (3xx)</c:v>
                </c:pt>
                <c:pt idx="2">
                  <c:v>Client Error URLs (4xx)</c:v>
                </c:pt>
                <c:pt idx="3">
                  <c:v>Server Error URLs (5xx)</c:v>
                </c:pt>
              </c:strCache>
            </c:strRef>
          </c:cat>
          <c:val>
            <c:numRef>
              <c:f>DATA_PROFILE!$B$12:$B$15</c:f>
              <c:numCache>
                <c:formatCode>General</c:formatCode>
                <c:ptCount val="4"/>
                <c:pt idx="0">
                  <c:v>87</c:v>
                </c:pt>
                <c:pt idx="1">
                  <c:v>3</c:v>
                </c:pt>
                <c:pt idx="2">
                  <c:v>29</c:v>
                </c:pt>
                <c:pt idx="3">
                  <c:v>0</c:v>
                </c:pt>
              </c:numCache>
            </c:numRef>
          </c:val>
          <c:extLst>
            <c:ext xmlns:c16="http://schemas.microsoft.com/office/drawing/2014/chart" uri="{C3380CC4-5D6E-409C-BE32-E72D297353CC}">
              <c16:uniqueId val="{00000008-B9F9-4B18-8B87-5A57238B869C}"/>
            </c:ext>
          </c:extLst>
        </c:ser>
        <c:ser>
          <c:idx val="1"/>
          <c:order val="1"/>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A-B9F9-4B18-8B87-5A57238B869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C-B9F9-4B18-8B87-5A57238B869C}"/>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E-B9F9-4B18-8B87-5A57238B869C}"/>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0-B9F9-4B18-8B87-5A57238B86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DATA_PROFILE!$A$12:$A$15</c:f>
              <c:strCache>
                <c:ptCount val="4"/>
                <c:pt idx="0">
                  <c:v>Successful URLs (2xx)</c:v>
                </c:pt>
                <c:pt idx="1">
                  <c:v>Redirect URLs (3xx)</c:v>
                </c:pt>
                <c:pt idx="2">
                  <c:v>Client Error URLs (4xx)</c:v>
                </c:pt>
                <c:pt idx="3">
                  <c:v>Server Error URLs (5xx)</c:v>
                </c:pt>
              </c:strCache>
            </c:strRef>
          </c:cat>
          <c:val>
            <c:numRef>
              <c:f>DATA_PROFILE!$C$12:$C$15</c:f>
              <c:numCache>
                <c:formatCode>0.00%</c:formatCode>
                <c:ptCount val="4"/>
                <c:pt idx="0">
                  <c:v>0.73109243697478987</c:v>
                </c:pt>
                <c:pt idx="1">
                  <c:v>2.5210084033613446E-2</c:v>
                </c:pt>
                <c:pt idx="2">
                  <c:v>0.24369747899159663</c:v>
                </c:pt>
                <c:pt idx="3">
                  <c:v>0</c:v>
                </c:pt>
              </c:numCache>
            </c:numRef>
          </c:val>
          <c:extLst>
            <c:ext xmlns:c16="http://schemas.microsoft.com/office/drawing/2014/chart" uri="{C3380CC4-5D6E-409C-BE32-E72D297353CC}">
              <c16:uniqueId val="{00000011-B9F9-4B18-8B87-5A57238B869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D"/>
              <a:t>Search Visibility Readiness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33322431554353932"/>
          <c:y val="0.23454738482565923"/>
          <c:w val="0.3391040617798568"/>
          <c:h val="0.55879031232516663"/>
        </c:manualLayout>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6E4-4671-B9CE-CDEE911D440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6E4-4671-B9CE-CDEE911D44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DATA_PROFILE!$A$20:$A$21</c:f>
              <c:strCache>
                <c:ptCount val="2"/>
                <c:pt idx="0">
                  <c:v>Indexable URLs</c:v>
                </c:pt>
                <c:pt idx="1">
                  <c:v>Non-Indexable URLs</c:v>
                </c:pt>
              </c:strCache>
            </c:strRef>
          </c:cat>
          <c:val>
            <c:numRef>
              <c:f>DATA_PROFILE!$B$20:$B$21</c:f>
              <c:numCache>
                <c:formatCode>General</c:formatCode>
                <c:ptCount val="2"/>
                <c:pt idx="0">
                  <c:v>83</c:v>
                </c:pt>
                <c:pt idx="1">
                  <c:v>36</c:v>
                </c:pt>
              </c:numCache>
            </c:numRef>
          </c:val>
          <c:extLst>
            <c:ext xmlns:c16="http://schemas.microsoft.com/office/drawing/2014/chart" uri="{C3380CC4-5D6E-409C-BE32-E72D297353CC}">
              <c16:uniqueId val="{00000004-B6E4-4671-B9CE-CDEE911D440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Count URL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50128042300136"/>
          <c:y val="0.25501864967939314"/>
          <c:w val="0.7751654912951097"/>
          <c:h val="0.72125801983085447"/>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CALC_HELPER!$J$3:$J$6</c:f>
              <c:strCache>
                <c:ptCount val="4"/>
                <c:pt idx="0">
                  <c:v>Halaman Tidak Dapat Diakses</c:v>
                </c:pt>
                <c:pt idx="1">
                  <c:v>Redirect ke Halaman Lain</c:v>
                </c:pt>
                <c:pt idx="2">
                  <c:v>Halaman Duplikat</c:v>
                </c:pt>
                <c:pt idx="3">
                  <c:v>Tidak Ditampilkan di Pencarian</c:v>
                </c:pt>
              </c:strCache>
            </c:strRef>
          </c:cat>
          <c:val>
            <c:numRef>
              <c:f>CALC_HELPER!$F$3:$F$6</c:f>
              <c:numCache>
                <c:formatCode>General</c:formatCode>
                <c:ptCount val="4"/>
                <c:pt idx="0">
                  <c:v>29</c:v>
                </c:pt>
                <c:pt idx="1">
                  <c:v>3</c:v>
                </c:pt>
                <c:pt idx="2">
                  <c:v>2</c:v>
                </c:pt>
                <c:pt idx="3">
                  <c:v>2</c:v>
                </c:pt>
              </c:numCache>
            </c:numRef>
          </c:val>
          <c:extLst>
            <c:ext xmlns:c16="http://schemas.microsoft.com/office/drawing/2014/chart" uri="{C3380CC4-5D6E-409C-BE32-E72D297353CC}">
              <c16:uniqueId val="{00000000-050B-47A3-B189-F8B3A613C20D}"/>
            </c:ext>
          </c:extLst>
        </c:ser>
        <c:dLbls>
          <c:dLblPos val="outEnd"/>
          <c:showLegendKey val="0"/>
          <c:showVal val="1"/>
          <c:showCatName val="0"/>
          <c:showSerName val="0"/>
          <c:showPercent val="0"/>
          <c:showBubbleSize val="0"/>
        </c:dLbls>
        <c:gapWidth val="115"/>
        <c:overlap val="-20"/>
        <c:axId val="1519345168"/>
        <c:axId val="1241043184"/>
      </c:barChart>
      <c:catAx>
        <c:axId val="1519345168"/>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043184"/>
        <c:crosses val="autoZero"/>
        <c:auto val="1"/>
        <c:lblAlgn val="ctr"/>
        <c:lblOffset val="100"/>
        <c:noMultiLvlLbl val="0"/>
      </c:catAx>
      <c:valAx>
        <c:axId val="124104318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34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Prioritas Penanganan URL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manualLayout>
          <c:layoutTarget val="inner"/>
          <c:xMode val="edge"/>
          <c:yMode val="edge"/>
          <c:x val="0.19635193610290327"/>
          <c:y val="0.18845722056664163"/>
          <c:w val="0.78221002555810104"/>
          <c:h val="0.71696974834146854"/>
        </c:manualLayout>
      </c:layout>
      <c:barChart>
        <c:barDir val="bar"/>
        <c:grouping val="clustered"/>
        <c:varyColors val="0"/>
        <c:ser>
          <c:idx val="0"/>
          <c:order val="0"/>
          <c:tx>
            <c:strRef>
              <c:f>CALC_HELPER!$O$3:$O$5</c:f>
              <c:strCache>
                <c:ptCount val="3"/>
                <c:pt idx="0">
                  <c:v>2 URL (5,56%)</c:v>
                </c:pt>
                <c:pt idx="1">
                  <c:v>29 URL (80,56%)</c:v>
                </c:pt>
                <c:pt idx="2">
                  <c:v>5 URL (13,89%)</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3B45-4E75-A15E-472C25528B3F}"/>
              </c:ext>
            </c:extLst>
          </c:dPt>
          <c:dPt>
            <c:idx val="1"/>
            <c:invertIfNegative val="0"/>
            <c:bubble3D val="0"/>
            <c:spPr>
              <a:solidFill>
                <a:srgbClr val="FF0000"/>
              </a:solidFill>
              <a:ln>
                <a:noFill/>
              </a:ln>
              <a:effectLst/>
            </c:spPr>
            <c:extLst>
              <c:ext xmlns:c16="http://schemas.microsoft.com/office/drawing/2014/chart" uri="{C3380CC4-5D6E-409C-BE32-E72D297353CC}">
                <c16:uniqueId val="{00000003-3B45-4E75-A15E-472C25528B3F}"/>
              </c:ext>
            </c:extLst>
          </c:dPt>
          <c:dPt>
            <c:idx val="2"/>
            <c:invertIfNegative val="0"/>
            <c:bubble3D val="0"/>
            <c:spPr>
              <a:solidFill>
                <a:srgbClr val="FFC000"/>
              </a:solidFill>
              <a:ln>
                <a:noFill/>
              </a:ln>
              <a:effectLst/>
            </c:spPr>
            <c:extLst>
              <c:ext xmlns:c16="http://schemas.microsoft.com/office/drawing/2014/chart" uri="{C3380CC4-5D6E-409C-BE32-E72D297353CC}">
                <c16:uniqueId val="{00000005-3B45-4E75-A15E-472C25528B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CALC_HELPER!$N$3:$N$5</c:f>
              <c:strCache>
                <c:ptCount val="3"/>
                <c:pt idx="0">
                  <c:v>Perlu Diverifikasi</c:v>
                </c:pt>
                <c:pt idx="1">
                  <c:v>Perlu Ditangani Lebih Dulu</c:v>
                </c:pt>
                <c:pt idx="2">
                  <c:v>Perlu Ditinjau</c:v>
                </c:pt>
              </c:strCache>
            </c:strRef>
          </c:cat>
          <c:val>
            <c:numRef>
              <c:f>CALC_HELPER!$L$3:$L$5</c:f>
              <c:numCache>
                <c:formatCode>General</c:formatCode>
                <c:ptCount val="3"/>
                <c:pt idx="0">
                  <c:v>2</c:v>
                </c:pt>
                <c:pt idx="1">
                  <c:v>29</c:v>
                </c:pt>
                <c:pt idx="2">
                  <c:v>5</c:v>
                </c:pt>
              </c:numCache>
            </c:numRef>
          </c:val>
          <c:extLst>
            <c:ext xmlns:c16="http://schemas.microsoft.com/office/drawing/2014/chart" uri="{C3380CC4-5D6E-409C-BE32-E72D297353CC}">
              <c16:uniqueId val="{00000006-3B45-4E75-A15E-472C25528B3F}"/>
            </c:ext>
          </c:extLst>
        </c:ser>
        <c:dLbls>
          <c:dLblPos val="outEnd"/>
          <c:showLegendKey val="0"/>
          <c:showVal val="1"/>
          <c:showCatName val="0"/>
          <c:showSerName val="0"/>
          <c:showPercent val="0"/>
          <c:showBubbleSize val="0"/>
        </c:dLbls>
        <c:gapWidth val="182"/>
        <c:axId val="1661819280"/>
        <c:axId val="1241066224"/>
      </c:barChart>
      <c:catAx>
        <c:axId val="1661819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066224"/>
        <c:crosses val="autoZero"/>
        <c:auto val="1"/>
        <c:lblAlgn val="ctr"/>
        <c:lblOffset val="100"/>
        <c:noMultiLvlLbl val="0"/>
      </c:catAx>
      <c:valAx>
        <c:axId val="1241066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81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Average Performance Score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WEBSITE_PERFORMANCE_DASHBOARD!$B$12</c:f>
              <c:strCache>
                <c:ptCount val="1"/>
                <c:pt idx="0">
                  <c:v>Score</c:v>
                </c:pt>
              </c:strCache>
            </c:strRef>
          </c:tx>
          <c:spPr>
            <a:solidFill>
              <a:schemeClr val="accent1"/>
            </a:solidFill>
            <a:ln>
              <a:noFill/>
            </a:ln>
            <a:effectLst/>
          </c:spPr>
          <c:invertIfNegative val="0"/>
          <c:cat>
            <c:strRef>
              <c:f>WEBSITE_PERFORMANCE_DASHBOARD!$A$13:$A$14</c:f>
              <c:strCache>
                <c:ptCount val="2"/>
                <c:pt idx="0">
                  <c:v>Mobile</c:v>
                </c:pt>
                <c:pt idx="1">
                  <c:v>Desktop</c:v>
                </c:pt>
              </c:strCache>
            </c:strRef>
          </c:cat>
          <c:val>
            <c:numRef>
              <c:f>WEBSITE_PERFORMANCE_DASHBOARD!$B$13:$B$14</c:f>
              <c:numCache>
                <c:formatCode>General</c:formatCode>
                <c:ptCount val="2"/>
                <c:pt idx="0">
                  <c:v>59.321839080459768</c:v>
                </c:pt>
                <c:pt idx="1">
                  <c:v>75.540229885057471</c:v>
                </c:pt>
              </c:numCache>
            </c:numRef>
          </c:val>
          <c:extLst>
            <c:ext xmlns:c16="http://schemas.microsoft.com/office/drawing/2014/chart" uri="{C3380CC4-5D6E-409C-BE32-E72D297353CC}">
              <c16:uniqueId val="{00000000-2B75-4606-B9BE-D8665CDF277D}"/>
            </c:ext>
          </c:extLst>
        </c:ser>
        <c:dLbls>
          <c:showLegendKey val="0"/>
          <c:showVal val="0"/>
          <c:showCatName val="0"/>
          <c:showSerName val="0"/>
          <c:showPercent val="0"/>
          <c:showBubbleSize val="0"/>
        </c:dLbls>
        <c:gapWidth val="219"/>
        <c:overlap val="-27"/>
        <c:axId val="695466176"/>
        <c:axId val="1495100848"/>
      </c:barChart>
      <c:catAx>
        <c:axId val="69546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00848"/>
        <c:crosses val="autoZero"/>
        <c:auto val="1"/>
        <c:lblAlgn val="ctr"/>
        <c:lblOffset val="100"/>
        <c:noMultiLvlLbl val="0"/>
      </c:catAx>
      <c:valAx>
        <c:axId val="149510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466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D"/>
              <a:t>Optimization Priority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doughnutChart>
        <c:varyColors val="1"/>
        <c:ser>
          <c:idx val="0"/>
          <c:order val="0"/>
          <c:tx>
            <c:strRef>
              <c:f>WEBSITE_PERFORMANCE_DASHBOARD!$B$17</c:f>
              <c:strCache>
                <c:ptCount val="1"/>
                <c:pt idx="0">
                  <c:v>Jumlah</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D5-45A4-A268-D8D26C4E63A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D5-45A4-A268-D8D26C4E63A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D5-45A4-A268-D8D26C4E63A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7D5-45A4-A268-D8D26C4E63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WEBSITE_PERFORMANCE_DASHBOARD!$A$18:$A$21</c:f>
              <c:strCache>
                <c:ptCount val="4"/>
                <c:pt idx="0">
                  <c:v>Immediate Fix</c:v>
                </c:pt>
                <c:pt idx="1">
                  <c:v>Optimization Required</c:v>
                </c:pt>
                <c:pt idx="2">
                  <c:v>Monitor</c:v>
                </c:pt>
                <c:pt idx="3">
                  <c:v>Low</c:v>
                </c:pt>
              </c:strCache>
            </c:strRef>
          </c:cat>
          <c:val>
            <c:numRef>
              <c:f>WEBSITE_PERFORMANCE_DASHBOARD!$B$18:$B$21</c:f>
              <c:numCache>
                <c:formatCode>General</c:formatCode>
                <c:ptCount val="4"/>
                <c:pt idx="0">
                  <c:v>2</c:v>
                </c:pt>
                <c:pt idx="1">
                  <c:v>76</c:v>
                </c:pt>
                <c:pt idx="2">
                  <c:v>0</c:v>
                </c:pt>
                <c:pt idx="3">
                  <c:v>0</c:v>
                </c:pt>
              </c:numCache>
            </c:numRef>
          </c:val>
          <c:extLst>
            <c:ext xmlns:c16="http://schemas.microsoft.com/office/drawing/2014/chart" uri="{C3380CC4-5D6E-409C-BE32-E72D297353CC}">
              <c16:uniqueId val="{00000000-919C-488A-9927-5F61E252AC4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55419</xdr:colOff>
      <xdr:row>3</xdr:row>
      <xdr:rowOff>74713</xdr:rowOff>
    </xdr:from>
    <xdr:to>
      <xdr:col>7</xdr:col>
      <xdr:colOff>357081</xdr:colOff>
      <xdr:row>18</xdr:row>
      <xdr:rowOff>20924</xdr:rowOff>
    </xdr:to>
    <xdr:graphicFrame macro="">
      <xdr:nvGraphicFramePr>
        <xdr:cNvPr id="2" name="Chart 1">
          <a:extLst>
            <a:ext uri="{FF2B5EF4-FFF2-40B4-BE49-F238E27FC236}">
              <a16:creationId xmlns:a16="http://schemas.microsoft.com/office/drawing/2014/main" id="{D9B2AEAC-CDB2-477A-972F-DB8703D9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374074</xdr:colOff>
      <xdr:row>3</xdr:row>
      <xdr:rowOff>74665</xdr:rowOff>
    </xdr:from>
    <xdr:to>
      <xdr:col>14</xdr:col>
      <xdr:colOff>595745</xdr:colOff>
      <xdr:row>18</xdr:row>
      <xdr:rowOff>20876</xdr:rowOff>
    </xdr:to>
    <xdr:graphicFrame macro="">
      <xdr:nvGraphicFramePr>
        <xdr:cNvPr id="3" name="Chart 2">
          <a:extLst>
            <a:ext uri="{FF2B5EF4-FFF2-40B4-BE49-F238E27FC236}">
              <a16:creationId xmlns:a16="http://schemas.microsoft.com/office/drawing/2014/main" id="{D98CF54F-6BDF-4333-B3CA-3AB27AB7B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54158</xdr:colOff>
      <xdr:row>18</xdr:row>
      <xdr:rowOff>49002</xdr:rowOff>
    </xdr:from>
    <xdr:to>
      <xdr:col>14</xdr:col>
      <xdr:colOff>595746</xdr:colOff>
      <xdr:row>28</xdr:row>
      <xdr:rowOff>13855</xdr:rowOff>
    </xdr:to>
    <xdr:graphicFrame macro="">
      <xdr:nvGraphicFramePr>
        <xdr:cNvPr id="4" name="Chart 3">
          <a:extLst>
            <a:ext uri="{FF2B5EF4-FFF2-40B4-BE49-F238E27FC236}">
              <a16:creationId xmlns:a16="http://schemas.microsoft.com/office/drawing/2014/main" id="{3B74F2E6-ACBD-4F1B-82EB-86A23D94A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50870</xdr:colOff>
      <xdr:row>27</xdr:row>
      <xdr:rowOff>164474</xdr:rowOff>
    </xdr:from>
    <xdr:to>
      <xdr:col>14</xdr:col>
      <xdr:colOff>595746</xdr:colOff>
      <xdr:row>39</xdr:row>
      <xdr:rowOff>138546</xdr:rowOff>
    </xdr:to>
    <xdr:graphicFrame macro="">
      <xdr:nvGraphicFramePr>
        <xdr:cNvPr id="5" name="Chart 4">
          <a:extLst>
            <a:ext uri="{FF2B5EF4-FFF2-40B4-BE49-F238E27FC236}">
              <a16:creationId xmlns:a16="http://schemas.microsoft.com/office/drawing/2014/main" id="{CFBD1AE5-1770-4A44-8E43-79F904307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114993</xdr:colOff>
      <xdr:row>0</xdr:row>
      <xdr:rowOff>40178</xdr:rowOff>
    </xdr:from>
    <xdr:to>
      <xdr:col>17</xdr:col>
      <xdr:colOff>419793</xdr:colOff>
      <xdr:row>11</xdr:row>
      <xdr:rowOff>151707</xdr:rowOff>
    </xdr:to>
    <xdr:graphicFrame macro="">
      <xdr:nvGraphicFramePr>
        <xdr:cNvPr id="2" name="Chart 1">
          <a:extLst>
            <a:ext uri="{FF2B5EF4-FFF2-40B4-BE49-F238E27FC236}">
              <a16:creationId xmlns:a16="http://schemas.microsoft.com/office/drawing/2014/main" id="{7F57CABF-9BE0-BD33-E5F4-2F61B98FC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187729</xdr:colOff>
      <xdr:row>15</xdr:row>
      <xdr:rowOff>127115</xdr:rowOff>
    </xdr:from>
    <xdr:to>
      <xdr:col>17</xdr:col>
      <xdr:colOff>492529</xdr:colOff>
      <xdr:row>30</xdr:row>
      <xdr:rowOff>127115</xdr:rowOff>
    </xdr:to>
    <xdr:graphicFrame macro="">
      <xdr:nvGraphicFramePr>
        <xdr:cNvPr id="3" name="Chart 2">
          <a:extLst>
            <a:ext uri="{FF2B5EF4-FFF2-40B4-BE49-F238E27FC236}">
              <a16:creationId xmlns:a16="http://schemas.microsoft.com/office/drawing/2014/main" id="{6F438272-30D1-A737-5716-2575D17D9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ja Fajrian" refreshedDate="46249.727447916666" createdVersion="8" refreshedVersion="8" minRefreshableVersion="3" recordCount="119" xr:uid="{70C6F7FB-EC27-4F31-A0F4-10D7A213B472}">
  <cacheSource type="worksheet">
    <worksheetSource ref="A1:BR120" sheet="RAW_CRAWL"/>
  </cacheSource>
  <cacheFields count="70">
    <cacheField name="Address" numFmtId="0">
      <sharedItems/>
    </cacheField>
    <cacheField name="Content Type" numFmtId="0">
      <sharedItems/>
    </cacheField>
    <cacheField name="Status Code" numFmtId="0">
      <sharedItems containsSemiMixedTypes="0" containsString="0" containsNumber="1" containsInteger="1" minValue="200" maxValue="404" count="5">
        <n v="200"/>
        <n v="404"/>
        <n v="302"/>
        <n v="403"/>
        <n v="301"/>
      </sharedItems>
    </cacheField>
    <cacheField name="Status" numFmtId="0">
      <sharedItems containsBlank="1"/>
    </cacheField>
    <cacheField name="Indexability" numFmtId="0">
      <sharedItems count="2">
        <s v="Indexable"/>
        <s v="Non-Indexable"/>
      </sharedItems>
    </cacheField>
    <cacheField name="Indexability Status" numFmtId="0">
      <sharedItems containsBlank="1"/>
    </cacheField>
    <cacheField name="Title 1" numFmtId="0">
      <sharedItems containsBlank="1"/>
    </cacheField>
    <cacheField name="Title 1 Length" numFmtId="0">
      <sharedItems containsSemiMixedTypes="0" containsString="0" containsNumber="1" containsInteger="1" minValue="0" maxValue="73"/>
    </cacheField>
    <cacheField name="Title 1 Pixel Width" numFmtId="0">
      <sharedItems containsSemiMixedTypes="0" containsString="0" containsNumber="1" containsInteger="1" minValue="0" maxValue="700"/>
    </cacheField>
    <cacheField name="Meta Description 1" numFmtId="0">
      <sharedItems containsNonDate="0" containsString="0" containsBlank="1"/>
    </cacheField>
    <cacheField name="Meta Description 1 Length" numFmtId="0">
      <sharedItems containsSemiMixedTypes="0" containsString="0" containsNumber="1" containsInteger="1" minValue="0" maxValue="0"/>
    </cacheField>
    <cacheField name="Meta Description 1 Pixel Width" numFmtId="0">
      <sharedItems containsSemiMixedTypes="0" containsString="0" containsNumber="1" containsInteger="1" minValue="0" maxValue="0"/>
    </cacheField>
    <cacheField name="Meta Keywords 1" numFmtId="0">
      <sharedItems containsNonDate="0" containsString="0" containsBlank="1"/>
    </cacheField>
    <cacheField name="Meta Keywords 1 Length" numFmtId="0">
      <sharedItems containsSemiMixedTypes="0" containsString="0" containsNumber="1" containsInteger="1" minValue="0" maxValue="0"/>
    </cacheField>
    <cacheField name="H1-1" numFmtId="0">
      <sharedItems containsBlank="1"/>
    </cacheField>
    <cacheField name="H1-1 Length" numFmtId="0">
      <sharedItems containsSemiMixedTypes="0" containsString="0" containsNumber="1" containsInteger="1" minValue="0" maxValue="86"/>
    </cacheField>
    <cacheField name="H1-2" numFmtId="0">
      <sharedItems containsBlank="1"/>
    </cacheField>
    <cacheField name="H1-2 Length" numFmtId="0">
      <sharedItems containsSemiMixedTypes="0" containsString="0" containsNumber="1" containsInteger="1" minValue="0" maxValue="59"/>
    </cacheField>
    <cacheField name="H2-1" numFmtId="0">
      <sharedItems containsBlank="1"/>
    </cacheField>
    <cacheField name="H2-1 Length" numFmtId="0">
      <sharedItems containsSemiMixedTypes="0" containsString="0" containsNumber="1" containsInteger="1" minValue="0" maxValue="99"/>
    </cacheField>
    <cacheField name="H2-2" numFmtId="0">
      <sharedItems containsBlank="1"/>
    </cacheField>
    <cacheField name="H2-2 Length" numFmtId="0">
      <sharedItems containsSemiMixedTypes="0" containsString="0" containsNumber="1" containsInteger="1" minValue="0" maxValue="96"/>
    </cacheField>
    <cacheField name="Meta Robots 1" numFmtId="0">
      <sharedItems containsBlank="1"/>
    </cacheField>
    <cacheField name="X-Robots-Tag 1" numFmtId="0">
      <sharedItems containsNonDate="0" containsString="0" containsBlank="1"/>
    </cacheField>
    <cacheField name="Meta Refresh 1" numFmtId="0">
      <sharedItems containsNonDate="0" containsString="0" containsBlank="1"/>
    </cacheField>
    <cacheField name="Canonical Link Element 1" numFmtId="0">
      <sharedItems containsBlank="1"/>
    </cacheField>
    <cacheField name="rel=&quot;next&quot; 1" numFmtId="0">
      <sharedItems containsNonDate="0" containsString="0" containsBlank="1"/>
    </cacheField>
    <cacheField name="rel=&quot;prev&quot; 1" numFmtId="0">
      <sharedItems containsNonDate="0" containsString="0" containsBlank="1"/>
    </cacheField>
    <cacheField name="HTTP rel=&quot;next&quot; 1" numFmtId="0">
      <sharedItems containsNonDate="0" containsString="0" containsBlank="1"/>
    </cacheField>
    <cacheField name="HTTP rel=&quot;prev&quot; 1" numFmtId="0">
      <sharedItems containsNonDate="0" containsString="0" containsBlank="1"/>
    </cacheField>
    <cacheField name="amphtml Link Element" numFmtId="0">
      <sharedItems containsNonDate="0" containsString="0" containsBlank="1"/>
    </cacheField>
    <cacheField name="Size (bytes)" numFmtId="0">
      <sharedItems containsSemiMixedTypes="0" containsString="0" containsNumber="1" containsInteger="1" minValue="0" maxValue="264444"/>
    </cacheField>
    <cacheField name="Transferred (bytes)" numFmtId="0">
      <sharedItems containsSemiMixedTypes="0" containsString="0" containsNumber="1" containsInteger="1" minValue="0" maxValue="120313"/>
    </cacheField>
    <cacheField name="Total Transferred (bytes)" numFmtId="0">
      <sharedItems containsSemiMixedTypes="0" containsString="0" containsNumber="1" containsInteger="1" minValue="0" maxValue="37100272"/>
    </cacheField>
    <cacheField name="CO2 (mg)" numFmtId="0">
      <sharedItems containsMixedTypes="1" containsNumber="1" containsInteger="1" minValue="2391" maxValue="13152232"/>
    </cacheField>
    <cacheField name="Carbon Rating" numFmtId="0">
      <sharedItems/>
    </cacheField>
    <cacheField name="Word Count" numFmtId="0">
      <sharedItems containsSemiMixedTypes="0" containsString="0" containsNumber="1" containsInteger="1" minValue="0" maxValue="3192"/>
    </cacheField>
    <cacheField name="Sentence Count" numFmtId="0">
      <sharedItems containsString="0" containsBlank="1" containsNumber="1" containsInteger="1" minValue="8" maxValue="808"/>
    </cacheField>
    <cacheField name="Average Words Per Sentence" numFmtId="0">
      <sharedItems containsString="0" containsBlank="1" containsNumber="1" containsInteger="1" minValue="1875" maxValue="6441"/>
    </cacheField>
    <cacheField name="Flesch Reading Ease Score" numFmtId="0">
      <sharedItems containsBlank="1" containsMixedTypes="1" containsNumber="1" containsInteger="1" minValue="1123" maxValue="100000"/>
    </cacheField>
    <cacheField name="Readability" numFmtId="0">
      <sharedItems containsBlank="1"/>
    </cacheField>
    <cacheField name="Text Ratio" numFmtId="0">
      <sharedItems containsMixedTypes="1" containsNumber="1" containsInteger="1" minValue="1164" maxValue="6607"/>
    </cacheField>
    <cacheField name="Crawl Depth" numFmtId="0">
      <sharedItems containsSemiMixedTypes="0" containsString="0" containsNumber="1" containsInteger="1" minValue="0" maxValue="4"/>
    </cacheField>
    <cacheField name="Folder Depth" numFmtId="0">
      <sharedItems containsSemiMixedTypes="0" containsString="0" containsNumber="1" containsInteger="1" minValue="0" maxValue="5"/>
    </cacheField>
    <cacheField name="Link Score" numFmtId="0">
      <sharedItems containsNonDate="0" containsString="0" containsBlank="1"/>
    </cacheField>
    <cacheField name="Inlinks" numFmtId="0">
      <sharedItems containsSemiMixedTypes="0" containsString="0" containsNumber="1" containsInteger="1" minValue="0" maxValue="605"/>
    </cacheField>
    <cacheField name="Unique Inlinks" numFmtId="0">
      <sharedItems containsSemiMixedTypes="0" containsString="0" containsNumber="1" containsInteger="1" minValue="0" maxValue="87"/>
    </cacheField>
    <cacheField name="Unique JS Inlinks" numFmtId="0">
      <sharedItems containsSemiMixedTypes="0" containsString="0" containsNumber="1" containsInteger="1" minValue="0" maxValue="81"/>
    </cacheField>
    <cacheField name="% of Total" numFmtId="0">
      <sharedItems containsMixedTypes="1" containsNumber="1" containsInteger="1" minValue="1150" maxValue="100000"/>
    </cacheField>
    <cacheField name="Outlinks" numFmtId="0">
      <sharedItems containsSemiMixedTypes="0" containsString="0" containsNumber="1" containsInteger="1" minValue="0" maxValue="178"/>
    </cacheField>
    <cacheField name="Unique Outlinks" numFmtId="0">
      <sharedItems containsSemiMixedTypes="0" containsString="0" containsNumber="1" containsInteger="1" minValue="0" maxValue="80"/>
    </cacheField>
    <cacheField name="Unique JS Outlinks" numFmtId="0">
      <sharedItems containsSemiMixedTypes="0" containsString="0" containsNumber="1" containsInteger="1" minValue="0" maxValue="2"/>
    </cacheField>
    <cacheField name="External Outlinks" numFmtId="0">
      <sharedItems containsSemiMixedTypes="0" containsString="0" containsNumber="1" containsInteger="1" minValue="0" maxValue="33"/>
    </cacheField>
    <cacheField name="Unique External Outlinks" numFmtId="0">
      <sharedItems containsSemiMixedTypes="0" containsString="0" containsNumber="1" containsInteger="1" minValue="0" maxValue="32"/>
    </cacheField>
    <cacheField name="Unique External JS Outlinks" numFmtId="0">
      <sharedItems containsSemiMixedTypes="0" containsString="0" containsNumber="1" containsInteger="1" minValue="0" maxValue="8"/>
    </cacheField>
    <cacheField name="Closest Similarity Match" numFmtId="0">
      <sharedItems containsNonDate="0" containsString="0" containsBlank="1"/>
    </cacheField>
    <cacheField name="No. Near Duplicates" numFmtId="0">
      <sharedItems containsNonDate="0" containsString="0" containsBlank="1"/>
    </cacheField>
    <cacheField name="Spelling Errors" numFmtId="0">
      <sharedItems containsNonDate="0" containsString="0" containsBlank="1"/>
    </cacheField>
    <cacheField name="Grammar Errors" numFmtId="0">
      <sharedItems containsNonDate="0" containsString="0" containsBlank="1"/>
    </cacheField>
    <cacheField name="Hash" numFmtId="0">
      <sharedItems containsBlank="1"/>
    </cacheField>
    <cacheField name="Response Time" numFmtId="0">
      <sharedItems containsMixedTypes="1" containsNumber="1" containsInteger="1" minValue="1073" maxValue="21137"/>
    </cacheField>
    <cacheField name="Last Modified" numFmtId="0">
      <sharedItems containsBlank="1"/>
    </cacheField>
    <cacheField name="Redirect URL" numFmtId="0">
      <sharedItems containsBlank="1"/>
    </cacheField>
    <cacheField name="Redirect Type" numFmtId="0">
      <sharedItems containsBlank="1"/>
    </cacheField>
    <cacheField name="Cookies" numFmtId="0">
      <sharedItems containsNonDate="0" containsString="0" containsBlank="1"/>
    </cacheField>
    <cacheField name="Language" numFmtId="0">
      <sharedItems containsBlank="1"/>
    </cacheField>
    <cacheField name="HTTP Version" numFmtId="0">
      <sharedItems containsBlank="1"/>
    </cacheField>
    <cacheField name="Mobile Alternate Link" numFmtId="0">
      <sharedItems containsNonDate="0" containsString="0" containsBlank="1"/>
    </cacheField>
    <cacheField name="URL Encoded Address" numFmtId="0">
      <sharedItems/>
    </cacheField>
    <cacheField name="Crawl Timestamp" numFmtId="22">
      <sharedItems containsSemiMixedTypes="0" containsNonDate="0" containsDate="1" containsString="0" minDate="2026-08-15T16:54:47" maxDate="2026-08-15T17:05: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s v="https://pmb.widyatama.ac.id/"/>
    <s v="text/html; charset=UTF-8"/>
    <x v="0"/>
    <m/>
    <x v="0"/>
    <m/>
    <s v="Home - PMB UTama"/>
    <n v="16"/>
    <n v="182"/>
    <m/>
    <n v="0"/>
    <n v="0"/>
    <m/>
    <n v="0"/>
    <s v="Penerimaan Mahasiswa Baru Universitas Widyatama Bandung"/>
    <n v="55"/>
    <m/>
    <n v="0"/>
    <s v="Temukan Jalur Kuliah yang Paling Sesuai"/>
    <n v="39"/>
    <s v="Program Studi Diploma, Sarjana, dan Pascasarjana"/>
    <n v="48"/>
    <s v="index, follow, max-image-preview:large, max-snippet:-1, max-video-preview:-1"/>
    <m/>
    <m/>
    <s v="https://pmb.widyatama.ac.id/"/>
    <m/>
    <m/>
    <m/>
    <m/>
    <m/>
    <n v="222241"/>
    <n v="46607"/>
    <n v="37100272"/>
    <n v="13152232"/>
    <s v="F"/>
    <n v="961"/>
    <n v="199"/>
    <n v="4829"/>
    <s v="0.000"/>
    <s v="Very Hard"/>
    <n v="3528"/>
    <n v="0"/>
    <n v="0"/>
    <m/>
    <n v="466"/>
    <n v="77"/>
    <n v="77"/>
    <n v="88510"/>
    <n v="128"/>
    <n v="32"/>
    <n v="0"/>
    <n v="21"/>
    <n v="12"/>
    <n v="4"/>
    <m/>
    <m/>
    <m/>
    <m/>
    <s v="a20e81bc6438e5cebb62cebec82d43c2"/>
    <n v="3290"/>
    <s v="Saturday, 15-Aug-2026 09:54:51 GMT"/>
    <m/>
    <m/>
    <m/>
    <s v="en-US"/>
    <s v="2.0"/>
    <m/>
    <s v="https://pmb.widyatama.ac.id/"/>
    <d v="2026-08-15T16:54:47"/>
  </r>
  <r>
    <s v="https://pmb.widyatama.ac.id/wp-content/plugins/popup-maker/dist/packages/block-library-style.css?ver=7424eb959f91acb8bbb2"/>
    <s v="text/html; charset=UTF-8"/>
    <x v="1"/>
    <s v="Aborted"/>
    <x v="1"/>
    <s v="Client Error"/>
    <m/>
    <n v="0"/>
    <n v="0"/>
    <m/>
    <n v="0"/>
    <n v="0"/>
    <m/>
    <n v="0"/>
    <m/>
    <n v="0"/>
    <m/>
    <n v="0"/>
    <m/>
    <n v="0"/>
    <m/>
    <n v="0"/>
    <m/>
    <m/>
    <m/>
    <m/>
    <m/>
    <m/>
    <m/>
    <m/>
    <m/>
    <n v="0"/>
    <n v="0"/>
    <n v="0"/>
    <s v="0.000"/>
    <s v="A+"/>
    <n v="0"/>
    <m/>
    <m/>
    <m/>
    <m/>
    <s v="0.000"/>
    <n v="1"/>
    <n v="5"/>
    <m/>
    <n v="0"/>
    <n v="0"/>
    <n v="0"/>
    <s v="0.000"/>
    <n v="0"/>
    <n v="0"/>
    <n v="0"/>
    <n v="0"/>
    <n v="0"/>
    <n v="0"/>
    <m/>
    <m/>
    <m/>
    <m/>
    <m/>
    <n v="21137"/>
    <m/>
    <m/>
    <m/>
    <m/>
    <m/>
    <m/>
    <m/>
    <s v="https://pmb.widyatama.ac.id/wp-content/plugins/popup-maker/dist/packages/block-library-style.css?ver=7424eb959f91acb8bbb2"/>
    <d v="2026-08-15T16:54:51"/>
  </r>
  <r>
    <s v="https://pmb.widyatama.ac.id/cdn-cgi/l/email-protection"/>
    <s v="text/html"/>
    <x v="1"/>
    <m/>
    <x v="1"/>
    <s v="Client Error"/>
    <m/>
    <n v="0"/>
    <n v="0"/>
    <m/>
    <n v="0"/>
    <n v="0"/>
    <m/>
    <n v="0"/>
    <m/>
    <n v="0"/>
    <m/>
    <n v="0"/>
    <m/>
    <n v="0"/>
    <m/>
    <n v="0"/>
    <m/>
    <m/>
    <m/>
    <m/>
    <m/>
    <m/>
    <m/>
    <m/>
    <m/>
    <n v="4741"/>
    <n v="2125"/>
    <n v="6745"/>
    <n v="2391"/>
    <s v="A+"/>
    <n v="0"/>
    <m/>
    <m/>
    <m/>
    <m/>
    <s v="0.000"/>
    <n v="1"/>
    <n v="2"/>
    <m/>
    <n v="9"/>
    <n v="3"/>
    <n v="0"/>
    <n v="3450"/>
    <n v="0"/>
    <n v="0"/>
    <n v="0"/>
    <n v="0"/>
    <n v="0"/>
    <n v="0"/>
    <m/>
    <m/>
    <m/>
    <m/>
    <m/>
    <s v="0.205"/>
    <m/>
    <m/>
    <m/>
    <m/>
    <m/>
    <s v="2.0"/>
    <m/>
    <s v="https://pmb.widyatama.ac.id/cdn-cgi/l/email-protection"/>
    <d v="2026-08-15T16:55:42"/>
  </r>
  <r>
    <s v="https://pmb.widyatama.ac.id/sitemap/"/>
    <s v="text/html; charset=UTF-8"/>
    <x v="1"/>
    <m/>
    <x v="1"/>
    <s v="Client Error"/>
    <m/>
    <n v="0"/>
    <n v="0"/>
    <m/>
    <n v="0"/>
    <n v="0"/>
    <m/>
    <n v="0"/>
    <m/>
    <n v="0"/>
    <m/>
    <n v="0"/>
    <m/>
    <n v="0"/>
    <m/>
    <n v="0"/>
    <m/>
    <m/>
    <m/>
    <m/>
    <m/>
    <m/>
    <m/>
    <m/>
    <m/>
    <n v="120598"/>
    <n v="28660"/>
    <n v="898177"/>
    <n v="318408"/>
    <s v="B"/>
    <n v="0"/>
    <m/>
    <m/>
    <m/>
    <m/>
    <s v="0.000"/>
    <n v="1"/>
    <n v="1"/>
    <m/>
    <n v="77"/>
    <n v="77"/>
    <n v="0"/>
    <n v="88510"/>
    <n v="0"/>
    <n v="0"/>
    <n v="0"/>
    <n v="0"/>
    <n v="0"/>
    <n v="0"/>
    <m/>
    <m/>
    <m/>
    <m/>
    <m/>
    <n v="3024"/>
    <m/>
    <m/>
    <m/>
    <m/>
    <m/>
    <s v="2.0"/>
    <m/>
    <s v="https://pmb.widyatama.ac.id/sitemap/"/>
    <d v="2026-08-15T16:55:42"/>
  </r>
  <r>
    <s v="https://pmb.widyatama.ac.id/usm-tpa/"/>
    <s v="text/html; charset=UTF-8"/>
    <x v="1"/>
    <m/>
    <x v="1"/>
    <s v="Client Error"/>
    <m/>
    <n v="0"/>
    <n v="0"/>
    <m/>
    <n v="0"/>
    <n v="0"/>
    <m/>
    <n v="0"/>
    <m/>
    <n v="0"/>
    <m/>
    <n v="0"/>
    <m/>
    <n v="0"/>
    <m/>
    <n v="0"/>
    <m/>
    <m/>
    <m/>
    <m/>
    <m/>
    <m/>
    <m/>
    <m/>
    <m/>
    <n v="120598"/>
    <n v="28666"/>
    <n v="898189"/>
    <n v="318412"/>
    <s v="B"/>
    <n v="0"/>
    <m/>
    <m/>
    <m/>
    <m/>
    <s v="0.000"/>
    <n v="1"/>
    <n v="1"/>
    <m/>
    <n v="1"/>
    <n v="1"/>
    <n v="0"/>
    <n v="1150"/>
    <n v="0"/>
    <n v="0"/>
    <n v="0"/>
    <n v="0"/>
    <n v="0"/>
    <n v="0"/>
    <m/>
    <m/>
    <m/>
    <m/>
    <m/>
    <n v="3661"/>
    <m/>
    <m/>
    <m/>
    <m/>
    <m/>
    <s v="2.0"/>
    <m/>
    <s v="https://pmb.widyatama.ac.id/usm-tpa/"/>
    <d v="2026-08-15T16:55:43"/>
  </r>
  <r>
    <s v="https://pmb.widyatama.ac.id/petunjuk-pendaftaran/"/>
    <s v="text/html; charset=UTF-8"/>
    <x v="0"/>
    <m/>
    <x v="0"/>
    <m/>
    <s v="Petunjuk Pendaftaran - PMB UTama"/>
    <n v="32"/>
    <n v="322"/>
    <m/>
    <n v="0"/>
    <n v="0"/>
    <m/>
    <n v="0"/>
    <s v="Petunjuk Pendaftaran Mahasiswa Baru Universitas Widyatama"/>
    <n v="57"/>
    <m/>
    <n v="0"/>
    <s v="Buat akun PMB lebih dulu, lalu ikuti setiap tahap dengan urut."/>
    <n v="62"/>
    <s v="Cara Mudah Daftar Kuliah Online"/>
    <n v="31"/>
    <s v="index, follow, max-image-preview:large, max-snippet:-1, max-video-preview:-1"/>
    <m/>
    <m/>
    <s v="https://pmb.widyatama.ac.id/petunjuk-pendaftaran/"/>
    <m/>
    <m/>
    <m/>
    <m/>
    <m/>
    <n v="175545"/>
    <n v="38335"/>
    <n v="3734312"/>
    <n v="1323832"/>
    <s v="F"/>
    <n v="943"/>
    <n v="197"/>
    <n v="4787"/>
    <n v="13847"/>
    <s v="Very Hard"/>
    <n v="3382"/>
    <n v="1"/>
    <n v="1"/>
    <m/>
    <n v="334"/>
    <n v="77"/>
    <n v="80"/>
    <n v="88510"/>
    <n v="139"/>
    <n v="30"/>
    <n v="1"/>
    <n v="17"/>
    <n v="9"/>
    <n v="4"/>
    <m/>
    <m/>
    <m/>
    <m/>
    <s v="a2d3f3de39b760ce0970219c23bc52b8"/>
    <s v="0.098"/>
    <s v="Saturday, 15-Aug-2026 09:55:42 GMT"/>
    <m/>
    <m/>
    <m/>
    <s v="en-US"/>
    <s v="None"/>
    <m/>
    <s v="https://pmb.widyatama.ac.id/petunjuk-pendaftaran/"/>
    <d v="2026-08-15T16:55:41"/>
  </r>
  <r>
    <s v="https://pmb.widyatama.ac.id/jenjang-pendidikan/"/>
    <s v="text/html; charset=UTF-8"/>
    <x v="0"/>
    <m/>
    <x v="0"/>
    <m/>
    <s v="Jenjang Pendidikan - PMB UTama"/>
    <n v="30"/>
    <n v="303"/>
    <m/>
    <n v="0"/>
    <n v="0"/>
    <m/>
    <n v="0"/>
    <s v="Jenjang Pendidikan Universitas Widyatama: Diploma, Sarjana, Pascasarjana, dan Doktoral"/>
    <n v="86"/>
    <m/>
    <n v="0"/>
    <s v="Konsultasi singkat untuk tahu jenjang yang paling sesuai."/>
    <n v="57"/>
    <s v="Mana Jenjang yang Cocok Buatmu?"/>
    <n v="31"/>
    <s v="index, follow, max-image-preview:large, max-snippet:-1, max-video-preview:-1"/>
    <m/>
    <m/>
    <s v="https://pmb.widyatama.ac.id/jenjang-pendidikan/"/>
    <m/>
    <m/>
    <m/>
    <m/>
    <m/>
    <n v="215138"/>
    <n v="46196"/>
    <n v="2434454"/>
    <n v="863026"/>
    <s v="F"/>
    <n v="1532"/>
    <n v="289"/>
    <n v="5301"/>
    <n v="10221"/>
    <s v="Very Hard"/>
    <n v="4366"/>
    <n v="1"/>
    <n v="1"/>
    <m/>
    <n v="332"/>
    <n v="77"/>
    <n v="76"/>
    <n v="88510"/>
    <n v="165"/>
    <n v="54"/>
    <n v="0"/>
    <n v="23"/>
    <n v="13"/>
    <n v="8"/>
    <m/>
    <m/>
    <m/>
    <m/>
    <s v="fe78e3bec59564785a59504aa8a6fc32"/>
    <s v="0.141"/>
    <s v="Saturday, 15-Aug-2026 09:55:44 GMT"/>
    <m/>
    <m/>
    <m/>
    <s v="en-US"/>
    <s v="2.0"/>
    <m/>
    <s v="https://pmb.widyatama.ac.id/jenjang-pendidikan/"/>
    <d v="2026-08-15T16:55:43"/>
  </r>
  <r>
    <s v="https://pmb.widyatama.ac.id/privacy-policy/"/>
    <s v="text/html; charset=UTF-8"/>
    <x v="0"/>
    <m/>
    <x v="0"/>
    <m/>
    <s v="Privacy Policy - PMB UTama"/>
    <n v="26"/>
    <n v="251"/>
    <m/>
    <n v="0"/>
    <n v="0"/>
    <m/>
    <n v="0"/>
    <s v="Kebijakan Privasi Website PMB Universitas Widyatama"/>
    <n v="51"/>
    <m/>
    <n v="0"/>
    <s v="Universitas Widyatama memproses data secara sah, terbatas, dan bertanggung jawab."/>
    <n v="81"/>
    <s v="Empat Hal yang Perlu Anda Ketahui"/>
    <n v="33"/>
    <s v="index, follow, max-image-preview:large, max-snippet:-1, max-video-preview:-1"/>
    <m/>
    <m/>
    <s v="https://pmb.widyatama.ac.id/privacy-policy/"/>
    <m/>
    <m/>
    <m/>
    <m/>
    <m/>
    <n v="178267"/>
    <n v="41064"/>
    <n v="2369801"/>
    <n v="840106"/>
    <s v="E"/>
    <n v="1700"/>
    <n v="287"/>
    <n v="5923"/>
    <s v="0.000"/>
    <s v="Very Hard"/>
    <n v="5997"/>
    <n v="1"/>
    <n v="1"/>
    <m/>
    <n v="107"/>
    <n v="77"/>
    <n v="2"/>
    <n v="88510"/>
    <n v="134"/>
    <n v="29"/>
    <n v="0"/>
    <n v="14"/>
    <n v="8"/>
    <n v="3"/>
    <m/>
    <m/>
    <m/>
    <m/>
    <s v="401e2e4a0ccb7c9dda5bf523b930781a"/>
    <n v="3159"/>
    <s v="Saturday, 15-Aug-2026 09:55:46 GMT"/>
    <m/>
    <m/>
    <m/>
    <s v="en-US"/>
    <s v="2.0"/>
    <m/>
    <s v="https://pmb.widyatama.ac.id/privacy-policy/"/>
    <d v="2026-08-15T16:55:42"/>
  </r>
  <r>
    <s v="https://pmb.widyatama.ac.id/cookie-policy/"/>
    <s v="text/html; charset=UTF-8"/>
    <x v="0"/>
    <m/>
    <x v="0"/>
    <m/>
    <s v="cookie policy - PMB UTama"/>
    <n v="25"/>
    <n v="243"/>
    <m/>
    <n v="0"/>
    <n v="0"/>
    <m/>
    <n v="0"/>
    <s v="Kebijakan Cookie Website PMB Universitas Widyatama"/>
    <n v="50"/>
    <m/>
    <n v="0"/>
    <s v="Cookies membantu website bekerja, tetapi pengguna tetap perlu tahu dan tetap punya kendali."/>
    <n v="91"/>
    <s v="Empat Hal yang Perlu Anda Ketahui"/>
    <n v="33"/>
    <s v="index, follow, max-image-preview:large, max-snippet:-1, max-video-preview:-1"/>
    <m/>
    <m/>
    <s v="https://pmb.widyatama.ac.id/cookie-policy/"/>
    <m/>
    <m/>
    <m/>
    <m/>
    <m/>
    <n v="176891"/>
    <n v="40040"/>
    <n v="2371646"/>
    <n v="840760"/>
    <s v="E"/>
    <n v="1278"/>
    <n v="220"/>
    <n v="5809"/>
    <s v="0.000"/>
    <s v="Very Hard"/>
    <n v="4702"/>
    <n v="1"/>
    <n v="1"/>
    <m/>
    <n v="99"/>
    <n v="77"/>
    <n v="1"/>
    <n v="88510"/>
    <n v="136"/>
    <n v="29"/>
    <n v="1"/>
    <n v="12"/>
    <n v="8"/>
    <n v="3"/>
    <m/>
    <m/>
    <m/>
    <m/>
    <s v="d062b2afab0c590f5e86ae2e3944feba"/>
    <s v="0.111"/>
    <s v="Saturday, 15-Aug-2026 09:55:52 GMT"/>
    <m/>
    <m/>
    <m/>
    <s v="en-US"/>
    <s v="None"/>
    <m/>
    <s v="https://pmb.widyatama.ac.id/cookie-policy/"/>
    <d v="2026-08-15T16:55:51"/>
  </r>
  <r>
    <s v="https://pmb.widyatama.ac.id/biaya-kuliah-pascasarjana/"/>
    <s v="text/html; charset=UTF-8"/>
    <x v="0"/>
    <m/>
    <x v="0"/>
    <m/>
    <s v="Biaya Kuliah Pascasarjana - PMB UTama"/>
    <n v="37"/>
    <n v="366"/>
    <m/>
    <n v="0"/>
    <n v="0"/>
    <m/>
    <n v="0"/>
    <s v="Biaya Kuliah Pascasarjana Widyatama Bandung 2026/2027"/>
    <n v="53"/>
    <m/>
    <n v="0"/>
    <s v="Biaya Pascasarjana tidak selalu dibaca dengan cara yang sama."/>
    <n v="61"/>
    <s v="Simulasi Biaya Pascasarjana"/>
    <n v="27"/>
    <s v="index, follow, max-image-preview:large, max-snippet:-1, max-video-preview:-1"/>
    <m/>
    <m/>
    <s v="https://pmb.widyatama.ac.id/biaya-kuliah-pascasarjana/"/>
    <m/>
    <m/>
    <m/>
    <m/>
    <m/>
    <n v="223170"/>
    <n v="47024"/>
    <n v="2345517"/>
    <n v="831498"/>
    <s v="E"/>
    <n v="1306"/>
    <n v="237"/>
    <n v="5511"/>
    <n v="23038"/>
    <s v="Very Hard"/>
    <n v="3700"/>
    <n v="1"/>
    <n v="1"/>
    <m/>
    <n v="333"/>
    <n v="77"/>
    <n v="76"/>
    <n v="88510"/>
    <n v="129"/>
    <n v="29"/>
    <n v="1"/>
    <n v="16"/>
    <n v="8"/>
    <n v="3"/>
    <m/>
    <m/>
    <m/>
    <m/>
    <s v="3a62e661b9c165c6386f7c8bfde05de8"/>
    <s v="0.094"/>
    <s v="Saturday, 15-Aug-2026 09:55:53 GMT"/>
    <m/>
    <m/>
    <m/>
    <s v="en-US"/>
    <s v="None"/>
    <m/>
    <s v="https://pmb.widyatama.ac.id/biaya-kuliah-pascasarjana/"/>
    <d v="2026-08-15T16:55:52"/>
  </r>
  <r>
    <s v="https://pmb.widyatama.ac.id/mahasiswa-internasional/"/>
    <s v="text/html; charset=UTF-8"/>
    <x v="0"/>
    <m/>
    <x v="0"/>
    <m/>
    <s v="Mahasiswa Internasional - PMB UTama"/>
    <n v="35"/>
    <n v="352"/>
    <m/>
    <n v="0"/>
    <n v="0"/>
    <m/>
    <n v="0"/>
    <s v="Mahasiswa Internasional Universitas Widyatama"/>
    <n v="45"/>
    <m/>
    <n v="0"/>
    <s v="Siapkan dokumen akademik dan identitas sebelum memulai pendaftaran."/>
    <n v="67"/>
    <s v="Apa yang Perlu Disiapkan Sebelum Mendaftar?"/>
    <n v="43"/>
    <s v="index, follow, max-image-preview:large, max-snippet:-1, max-video-preview:-1"/>
    <m/>
    <m/>
    <s v="https://pmb.widyatama.ac.id/mahasiswa-internasional/"/>
    <m/>
    <m/>
    <m/>
    <m/>
    <m/>
    <n v="166543"/>
    <n v="37187"/>
    <n v="13809173"/>
    <n v="4895421"/>
    <s v="F"/>
    <n v="668"/>
    <n v="142"/>
    <n v="4704"/>
    <s v="0.000"/>
    <s v="Very Hard"/>
    <n v="2946"/>
    <n v="1"/>
    <n v="1"/>
    <m/>
    <n v="323"/>
    <n v="77"/>
    <n v="76"/>
    <n v="88510"/>
    <n v="132"/>
    <n v="31"/>
    <n v="1"/>
    <n v="15"/>
    <n v="8"/>
    <n v="3"/>
    <m/>
    <m/>
    <m/>
    <m/>
    <s v="c5ae0eee17e720e69e88c30d34b9438b"/>
    <s v="0.101"/>
    <s v="Saturday, 15-Aug-2026 09:55:58 GMT"/>
    <m/>
    <m/>
    <m/>
    <s v="en-US"/>
    <s v="None"/>
    <m/>
    <s v="https://pmb.widyatama.ac.id/mahasiswa-internasional/"/>
    <d v="2026-08-15T16:55:57"/>
  </r>
  <r>
    <s v="https://pmb.widyatama.ac.id/output-lulusan/"/>
    <s v="text/html; charset=UTF-8"/>
    <x v="0"/>
    <m/>
    <x v="0"/>
    <m/>
    <s v="Output Lulusan - PMB UTama"/>
    <n v="26"/>
    <n v="263"/>
    <m/>
    <n v="0"/>
    <n v="0"/>
    <m/>
    <n v="0"/>
    <s v="Output Lulusan Universitas Widyatama"/>
    <n v="36"/>
    <m/>
    <n v="0"/>
    <s v="Halaman ini menjelaskan dokumen dan sertifikasi yang menjadi output setelah lulus."/>
    <n v="82"/>
    <s v="Tidak Hanya Ijazah, tetapi Juga Bukti Kompetensi"/>
    <n v="48"/>
    <s v="index, follow, max-image-preview:large, max-snippet:-1, max-video-preview:-1"/>
    <m/>
    <m/>
    <s v="https://pmb.widyatama.ac.id/output-lulusan/"/>
    <m/>
    <m/>
    <m/>
    <m/>
    <m/>
    <n v="155013"/>
    <n v="35332"/>
    <n v="2683647"/>
    <n v="951366"/>
    <s v="F"/>
    <n v="346"/>
    <n v="77"/>
    <n v="4494"/>
    <s v="0.000"/>
    <s v="Very Hard"/>
    <n v="2056"/>
    <n v="1"/>
    <n v="1"/>
    <m/>
    <n v="316"/>
    <n v="77"/>
    <n v="76"/>
    <n v="88510"/>
    <n v="127"/>
    <n v="28"/>
    <n v="0"/>
    <n v="8"/>
    <n v="7"/>
    <n v="2"/>
    <m/>
    <m/>
    <m/>
    <m/>
    <s v="c40c6727e76f0a4013fda4e11f1aa632"/>
    <s v="0.265"/>
    <s v="Saturday, 15-Aug-2026 09:56:08 GMT"/>
    <m/>
    <m/>
    <m/>
    <s v="en-US"/>
    <s v="None"/>
    <m/>
    <s v="https://pmb.widyatama.ac.id/output-lulusan/"/>
    <d v="2026-08-15T16:56:07"/>
  </r>
  <r>
    <s v="https://pmb.widyatama.ac.id/output-lulusan/GANTI_URL_GAMBAR_SAP"/>
    <s v="text/html; charset=UTF-8"/>
    <x v="1"/>
    <m/>
    <x v="1"/>
    <s v="Client Error"/>
    <m/>
    <n v="0"/>
    <n v="0"/>
    <m/>
    <n v="0"/>
    <n v="0"/>
    <m/>
    <n v="0"/>
    <m/>
    <n v="0"/>
    <m/>
    <n v="0"/>
    <m/>
    <n v="0"/>
    <m/>
    <n v="0"/>
    <m/>
    <m/>
    <m/>
    <m/>
    <m/>
    <m/>
    <m/>
    <m/>
    <m/>
    <n v="0"/>
    <n v="40486"/>
    <n v="40486"/>
    <n v="14352"/>
    <s v="A+"/>
    <n v="0"/>
    <m/>
    <m/>
    <m/>
    <m/>
    <s v="0.000"/>
    <n v="2"/>
    <n v="1"/>
    <m/>
    <n v="0"/>
    <n v="0"/>
    <n v="0"/>
    <s v="0.000"/>
    <n v="0"/>
    <n v="0"/>
    <n v="0"/>
    <n v="0"/>
    <n v="0"/>
    <n v="0"/>
    <m/>
    <m/>
    <m/>
    <m/>
    <m/>
    <n v="6309"/>
    <m/>
    <m/>
    <m/>
    <m/>
    <m/>
    <s v="None"/>
    <m/>
    <s v="https://pmb.widyatama.ac.id/output-lulusan/GANTI_URL_GAMBAR_SAP"/>
    <d v="2026-08-15T16:56:10"/>
  </r>
  <r>
    <s v="https://pmb.widyatama.ac.id/output-lulusan/GANTI_URL_GAMBAR_TRANSKRIP"/>
    <s v="text/html; charset=UTF-8"/>
    <x v="1"/>
    <m/>
    <x v="1"/>
    <s v="Client Error"/>
    <m/>
    <n v="0"/>
    <n v="0"/>
    <m/>
    <n v="0"/>
    <n v="0"/>
    <m/>
    <n v="0"/>
    <m/>
    <n v="0"/>
    <m/>
    <n v="0"/>
    <m/>
    <n v="0"/>
    <m/>
    <n v="0"/>
    <m/>
    <m/>
    <m/>
    <m/>
    <m/>
    <m/>
    <m/>
    <m/>
    <m/>
    <n v="0"/>
    <n v="120313"/>
    <n v="120313"/>
    <n v="42652"/>
    <s v="A+"/>
    <n v="0"/>
    <m/>
    <m/>
    <m/>
    <m/>
    <s v="0.000"/>
    <n v="2"/>
    <n v="1"/>
    <m/>
    <n v="0"/>
    <n v="0"/>
    <n v="0"/>
    <s v="0.000"/>
    <n v="0"/>
    <n v="0"/>
    <n v="0"/>
    <n v="0"/>
    <n v="0"/>
    <n v="0"/>
    <m/>
    <m/>
    <m/>
    <m/>
    <m/>
    <n v="4907"/>
    <m/>
    <m/>
    <m/>
    <m/>
    <m/>
    <s v="None"/>
    <m/>
    <s v="https://pmb.widyatama.ac.id/output-lulusan/GANTI_URL_GAMBAR_TRANSKRIP"/>
    <d v="2026-08-15T16:56:09"/>
  </r>
  <r>
    <s v="https://pmb.widyatama.ac.id/output-lulusan/GANTI_URL_GAMBAR_BNSP"/>
    <s v="text/html; charset=UTF-8"/>
    <x v="1"/>
    <m/>
    <x v="1"/>
    <s v="Client Error"/>
    <m/>
    <n v="0"/>
    <n v="0"/>
    <m/>
    <n v="0"/>
    <n v="0"/>
    <m/>
    <n v="0"/>
    <m/>
    <n v="0"/>
    <m/>
    <n v="0"/>
    <m/>
    <n v="0"/>
    <m/>
    <n v="0"/>
    <m/>
    <m/>
    <m/>
    <m/>
    <m/>
    <m/>
    <m/>
    <m/>
    <m/>
    <n v="0"/>
    <n v="34850"/>
    <n v="34850"/>
    <n v="12354"/>
    <s v="A+"/>
    <n v="0"/>
    <m/>
    <m/>
    <m/>
    <m/>
    <s v="0.000"/>
    <n v="2"/>
    <n v="1"/>
    <m/>
    <n v="0"/>
    <n v="0"/>
    <n v="0"/>
    <s v="0.000"/>
    <n v="0"/>
    <n v="0"/>
    <n v="0"/>
    <n v="0"/>
    <n v="0"/>
    <n v="0"/>
    <m/>
    <m/>
    <m/>
    <m/>
    <m/>
    <n v="6139"/>
    <m/>
    <m/>
    <m/>
    <m/>
    <m/>
    <s v="None"/>
    <m/>
    <s v="https://pmb.widyatama.ac.id/output-lulusan/GANTI_URL_GAMBAR_BNSP"/>
    <d v="2026-08-15T16:56:10"/>
  </r>
  <r>
    <s v="https://pmb.widyatama.ac.id/output-lulusan/GANTI_URL_GAMBAR_IJAZAH"/>
    <s v="text/html; charset=UTF-8"/>
    <x v="1"/>
    <m/>
    <x v="1"/>
    <s v="Client Error"/>
    <m/>
    <n v="0"/>
    <n v="0"/>
    <m/>
    <n v="0"/>
    <n v="0"/>
    <m/>
    <n v="0"/>
    <m/>
    <n v="0"/>
    <m/>
    <n v="0"/>
    <m/>
    <n v="0"/>
    <m/>
    <n v="0"/>
    <m/>
    <m/>
    <m/>
    <m/>
    <m/>
    <m/>
    <m/>
    <m/>
    <m/>
    <n v="0"/>
    <n v="120307"/>
    <n v="120307"/>
    <n v="42649"/>
    <s v="A+"/>
    <n v="0"/>
    <m/>
    <m/>
    <m/>
    <m/>
    <s v="0.000"/>
    <n v="2"/>
    <n v="1"/>
    <m/>
    <n v="0"/>
    <n v="0"/>
    <n v="0"/>
    <s v="0.000"/>
    <n v="0"/>
    <n v="0"/>
    <n v="0"/>
    <n v="0"/>
    <n v="0"/>
    <n v="0"/>
    <m/>
    <m/>
    <m/>
    <m/>
    <m/>
    <n v="4039"/>
    <m/>
    <m/>
    <m/>
    <m/>
    <m/>
    <s v="None"/>
    <m/>
    <s v="https://pmb.widyatama.ac.id/output-lulusan/GANTI_URL_GAMBAR_IJAZAH"/>
    <d v="2026-08-15T16:56:08"/>
  </r>
  <r>
    <s v="https://pmb.widyatama.ac.id/output-lulusan/GANTI_URL_GAMBAR_SKPI"/>
    <s v="text/html; charset=UTF-8"/>
    <x v="1"/>
    <m/>
    <x v="1"/>
    <s v="Client Error"/>
    <m/>
    <n v="0"/>
    <n v="0"/>
    <m/>
    <n v="0"/>
    <n v="0"/>
    <m/>
    <n v="0"/>
    <m/>
    <n v="0"/>
    <m/>
    <n v="0"/>
    <m/>
    <n v="0"/>
    <m/>
    <n v="0"/>
    <m/>
    <m/>
    <m/>
    <m/>
    <m/>
    <m/>
    <m/>
    <m/>
    <m/>
    <n v="0"/>
    <n v="8123"/>
    <n v="8123"/>
    <n v="2880"/>
    <s v="A+"/>
    <n v="0"/>
    <m/>
    <m/>
    <m/>
    <m/>
    <s v="0.000"/>
    <n v="2"/>
    <n v="1"/>
    <m/>
    <n v="0"/>
    <n v="0"/>
    <n v="0"/>
    <s v="0.000"/>
    <n v="0"/>
    <n v="0"/>
    <n v="0"/>
    <n v="0"/>
    <n v="0"/>
    <n v="0"/>
    <m/>
    <m/>
    <m/>
    <m/>
    <m/>
    <n v="6158"/>
    <m/>
    <m/>
    <m/>
    <m/>
    <m/>
    <s v="None"/>
    <m/>
    <s v="https://pmb.widyatama.ac.id/output-lulusan/GANTI_URL_GAMBAR_SKPI"/>
    <d v="2026-08-15T16:56:10"/>
  </r>
  <r>
    <s v="https://pmb.widyatama.ac.id/beasiswa-mahasiswa-aktif/"/>
    <s v="text/html; charset=UTF-8"/>
    <x v="0"/>
    <m/>
    <x v="0"/>
    <m/>
    <s v="Beasiswa Mahasiswa Aktif - PMB UTama"/>
    <n v="36"/>
    <n v="369"/>
    <m/>
    <n v="0"/>
    <n v="0"/>
    <m/>
    <n v="0"/>
    <s v="Beasiswa Mahasiswa Aktif Universitas Widyatama"/>
    <n v="46"/>
    <m/>
    <n v="0"/>
    <s v="Beasiswa ini berlaku setelah calon mahasiswa resmi menjadi mahasiswa aktif."/>
    <n v="75"/>
    <s v="Ada Peluang Beasiswa Setelah Menjadi Mahasiswa Aktif"/>
    <n v="52"/>
    <s v="index, follow, max-image-preview:large, max-snippet:-1, max-video-preview:-1"/>
    <m/>
    <m/>
    <s v="https://pmb.widyatama.ac.id/beasiswa-mahasiswa-aktif/"/>
    <m/>
    <m/>
    <m/>
    <m/>
    <m/>
    <n v="154131"/>
    <n v="35009"/>
    <n v="2359730"/>
    <n v="836536"/>
    <s v="E"/>
    <n v="458"/>
    <n v="131"/>
    <n v="3496"/>
    <n v="11366"/>
    <s v="Very Hard"/>
    <n v="2383"/>
    <n v="1"/>
    <n v="1"/>
    <m/>
    <n v="316"/>
    <n v="77"/>
    <n v="76"/>
    <n v="88510"/>
    <n v="127"/>
    <n v="29"/>
    <n v="0"/>
    <n v="8"/>
    <n v="7"/>
    <n v="2"/>
    <m/>
    <m/>
    <m/>
    <m/>
    <s v="c573cedd5f4118e1c089b7888c4a266b"/>
    <s v="0.150"/>
    <s v="Saturday, 15-Aug-2026 09:56:14 GMT"/>
    <m/>
    <m/>
    <m/>
    <s v="en-US"/>
    <s v="None"/>
    <m/>
    <s v="https://pmb.widyatama.ac.id/beasiswa-mahasiswa-aktif/"/>
    <d v="2026-08-15T16:56:14"/>
  </r>
  <r>
    <s v="https://pmb.widyatama.ac.id/program-rpl/"/>
    <s v="text/html; charset=UTF-8"/>
    <x v="0"/>
    <m/>
    <x v="0"/>
    <m/>
    <s v="Program RPL - PMB UTama"/>
    <n v="23"/>
    <n v="245"/>
    <m/>
    <n v="0"/>
    <n v="0"/>
    <m/>
    <n v="0"/>
    <s v="Program RPL Widyatama Bandung: Rekognisi Pengalaman Kerja &amp; Pembelajaran Lampau"/>
    <n v="79"/>
    <m/>
    <n v="0"/>
    <s v="Sudah punya pengalaman kerja, pernah kuliah, atau punya sertifikasi?"/>
    <n v="68"/>
    <s v="Sudah Punya Pengalaman? Saatnya Cek Potensi Rekognisi Anda"/>
    <n v="58"/>
    <s v="index, follow, max-image-preview:large, max-snippet:-1, max-video-preview:-1"/>
    <m/>
    <m/>
    <s v="https://pmb.widyatama.ac.id/program-rpl/"/>
    <m/>
    <m/>
    <m/>
    <m/>
    <m/>
    <n v="216360"/>
    <n v="45408"/>
    <n v="3130406"/>
    <n v="1109745"/>
    <s v="F"/>
    <n v="1552"/>
    <n v="260"/>
    <n v="5969"/>
    <n v="10699"/>
    <s v="Very Hard"/>
    <n v="4416"/>
    <n v="1"/>
    <n v="1"/>
    <m/>
    <n v="330"/>
    <n v="77"/>
    <n v="76"/>
    <n v="88510"/>
    <n v="160"/>
    <n v="51"/>
    <n v="1"/>
    <n v="19"/>
    <n v="8"/>
    <n v="3"/>
    <m/>
    <m/>
    <m/>
    <m/>
    <s v="e489ccee94e009b0984b4f1ce884fe0a"/>
    <s v="0.388"/>
    <s v="Saturday, 15-Aug-2026 09:56:12 GMT"/>
    <m/>
    <m/>
    <m/>
    <s v="en-US"/>
    <s v="None"/>
    <m/>
    <s v="https://pmb.widyatama.ac.id/program-rpl/"/>
    <d v="2026-08-15T16:56:11"/>
  </r>
  <r>
    <s v="https://pmb.widyatama.ac.id/biaya-kuliah-kelas-karyawan/"/>
    <s v="text/html; charset=UTF-8"/>
    <x v="0"/>
    <m/>
    <x v="0"/>
    <m/>
    <s v="Biaya Kuliah Kelas Karyawan - PMB UTama"/>
    <n v="39"/>
    <n v="386"/>
    <m/>
    <n v="0"/>
    <n v="0"/>
    <m/>
    <n v="0"/>
    <s v="Biaya Kuliah Kelas Karyawan Widyatama Bandung 2026/2027"/>
    <n v="55"/>
    <m/>
    <n v="0"/>
    <s v="Butuh skema biaya yang lebih mudah direncanakan?"/>
    <n v="48"/>
    <s v="Simulasi Biaya Kelas Karyawan"/>
    <n v="29"/>
    <s v="index, follow, max-image-preview:large, max-snippet:-1, max-video-preview:-1"/>
    <m/>
    <m/>
    <s v="https://pmb.widyatama.ac.id/biaya-kuliah-kelas-karyawan/"/>
    <m/>
    <m/>
    <m/>
    <m/>
    <m/>
    <n v="228505"/>
    <n v="48568"/>
    <n v="2344527"/>
    <n v="831147"/>
    <s v="E"/>
    <n v="1256"/>
    <n v="195"/>
    <n v="6441"/>
    <n v="19310"/>
    <s v="Very Hard"/>
    <n v="3706"/>
    <n v="1"/>
    <n v="1"/>
    <m/>
    <n v="333"/>
    <n v="77"/>
    <n v="76"/>
    <n v="88510"/>
    <n v="130"/>
    <n v="29"/>
    <n v="0"/>
    <n v="16"/>
    <n v="8"/>
    <n v="3"/>
    <m/>
    <m/>
    <m/>
    <m/>
    <s v="d7620fe32c20cc691c4f96210da7f795"/>
    <s v="0.218"/>
    <s v="Saturday, 15-Aug-2026 09:56:16 GMT"/>
    <m/>
    <m/>
    <m/>
    <s v="en-US"/>
    <s v="None"/>
    <m/>
    <s v="https://pmb.widyatama.ac.id/biaya-kuliah-kelas-karyawan/"/>
    <d v="2026-08-15T16:56:15"/>
  </r>
  <r>
    <s v="https://pmb.widyatama.ac.id/jurusan/"/>
    <s v="text/html; charset=UTF-8"/>
    <x v="0"/>
    <m/>
    <x v="0"/>
    <m/>
    <s v="Jurusan - PMB UTama"/>
    <n v="19"/>
    <n v="201"/>
    <m/>
    <n v="0"/>
    <n v="0"/>
    <m/>
    <n v="0"/>
    <s v="Daftar Jurusan di Universitas Widyatama Bandung"/>
    <n v="47"/>
    <m/>
    <n v="0"/>
    <s v="Mulai dari minat, jenjang, dan prospek karier yang Anda tuju."/>
    <n v="61"/>
    <s v="Pencarian"/>
    <n v="9"/>
    <s v="index, follow, max-image-preview:large, max-snippet:-1, max-video-preview:-1"/>
    <m/>
    <m/>
    <s v="https://pmb.widyatama.ac.id/jurusan/"/>
    <m/>
    <m/>
    <m/>
    <m/>
    <m/>
    <n v="194593"/>
    <n v="41500"/>
    <n v="27480260"/>
    <n v="9741890"/>
    <s v="F"/>
    <n v="526"/>
    <n v="172"/>
    <n v="3058"/>
    <s v="0.000"/>
    <s v="Very Hard"/>
    <n v="2245"/>
    <n v="1"/>
    <n v="1"/>
    <m/>
    <n v="377"/>
    <n v="77"/>
    <n v="77"/>
    <n v="88510"/>
    <n v="167"/>
    <n v="80"/>
    <n v="0"/>
    <n v="14"/>
    <n v="8"/>
    <n v="3"/>
    <m/>
    <m/>
    <m/>
    <m/>
    <s v="cda17362fd9d8bab8f3757cbdcdfe342"/>
    <s v="0.224"/>
    <s v="Saturday, 15-Aug-2026 09:56:10 GMT"/>
    <m/>
    <m/>
    <m/>
    <s v="en-US"/>
    <s v="None"/>
    <m/>
    <s v="https://pmb.widyatama.ac.id/jurusan/"/>
    <d v="2026-08-15T16:56:09"/>
  </r>
  <r>
    <s v="https://pmb.widyatama.ac.id/blog/"/>
    <s v="text/html; charset=UTF-8"/>
    <x v="0"/>
    <m/>
    <x v="0"/>
    <m/>
    <s v="Blog - PMB UTama"/>
    <n v="16"/>
    <n v="168"/>
    <m/>
    <n v="0"/>
    <n v="0"/>
    <m/>
    <n v="0"/>
    <s v="The Rapid Advancement of Digital Technology"/>
    <n v="43"/>
    <s v="Democracy in Indonesia: Why It Feels Weak at the Grassroots"/>
    <n v="59"/>
    <s v="Search"/>
    <n v="6"/>
    <s v="Categories"/>
    <n v="10"/>
    <s v="index, follow, max-image-preview:large, max-snippet:-1, max-video-preview:-1"/>
    <m/>
    <m/>
    <s v="https://pmb.widyatama.ac.id/blog/"/>
    <m/>
    <m/>
    <m/>
    <m/>
    <m/>
    <n v="172841"/>
    <n v="33714"/>
    <n v="2943781"/>
    <n v="1043585"/>
    <s v="F"/>
    <n v="319"/>
    <n v="82"/>
    <n v="3890"/>
    <n v="70815"/>
    <s v="Fairly Easy"/>
    <n v="1610"/>
    <n v="1"/>
    <n v="1"/>
    <m/>
    <n v="317"/>
    <n v="77"/>
    <n v="76"/>
    <n v="88510"/>
    <n v="149"/>
    <n v="39"/>
    <n v="0"/>
    <n v="8"/>
    <n v="7"/>
    <n v="2"/>
    <m/>
    <m/>
    <m/>
    <m/>
    <s v="5bd6aad56c78051ff764117d1cae49cf"/>
    <s v="0.222"/>
    <s v="Saturday, 15-Aug-2026 09:56:23 GMT"/>
    <m/>
    <m/>
    <m/>
    <s v="en-US"/>
    <s v="None"/>
    <m/>
    <s v="https://pmb.widyatama.ac.id/blog/"/>
    <d v="2026-08-15T16:56:23"/>
  </r>
  <r>
    <s v="https://pmb.widyatama.ac.id/biaya-kuliah-kelas-reguler/"/>
    <s v="text/html; charset=UTF-8"/>
    <x v="0"/>
    <m/>
    <x v="0"/>
    <m/>
    <s v="Biaya Kuliah Kelas Reguler - PMB UTama"/>
    <n v="38"/>
    <n v="364"/>
    <m/>
    <n v="0"/>
    <n v="0"/>
    <m/>
    <n v="0"/>
    <s v="Biaya Kuliah Kelas Reguler Widyatama Bandung 2026/2027"/>
    <n v="54"/>
    <m/>
    <n v="0"/>
    <s v="Butuh memahami total biaya sebelum daftar?"/>
    <n v="42"/>
    <m/>
    <n v="0"/>
    <s v="index, follow, max-image-preview:large, max-snippet:-1, max-video-preview:-1"/>
    <m/>
    <m/>
    <s v="https://pmb.widyatama.ac.id/biaya-kuliah-kelas-reguler/"/>
    <m/>
    <m/>
    <m/>
    <m/>
    <m/>
    <n v="239794"/>
    <n v="50093"/>
    <n v="2345423"/>
    <n v="831464"/>
    <s v="E"/>
    <n v="1937"/>
    <n v="622"/>
    <n v="3114"/>
    <n v="73040"/>
    <s v="Fairly Easy"/>
    <n v="4269"/>
    <n v="1"/>
    <n v="1"/>
    <m/>
    <n v="362"/>
    <n v="77"/>
    <n v="77"/>
    <n v="88510"/>
    <n v="130"/>
    <n v="28"/>
    <n v="0"/>
    <n v="16"/>
    <n v="8"/>
    <n v="3"/>
    <m/>
    <m/>
    <m/>
    <m/>
    <s v="4e1e99d197c7d1a3bbc5d241bff918be"/>
    <s v="0.099"/>
    <s v="Saturday, 15-Aug-2026 09:56:28 GMT"/>
    <m/>
    <m/>
    <m/>
    <s v="en-US"/>
    <s v="None"/>
    <m/>
    <s v="https://pmb.widyatama.ac.id/biaya-kuliah-kelas-reguler/"/>
    <d v="2026-08-15T16:56:27"/>
  </r>
  <r>
    <s v="https://online.pmb.widyatama.ac.id/"/>
    <s v="text/html; charset=UTF-8"/>
    <x v="0"/>
    <m/>
    <x v="0"/>
    <m/>
    <s v="PMB | Universitas Widyatama"/>
    <n v="27"/>
    <n v="262"/>
    <m/>
    <n v="0"/>
    <n v="0"/>
    <m/>
    <n v="0"/>
    <s v="Program PMB"/>
    <n v="11"/>
    <m/>
    <n v="0"/>
    <m/>
    <n v="0"/>
    <m/>
    <n v="0"/>
    <m/>
    <m/>
    <m/>
    <m/>
    <m/>
    <m/>
    <m/>
    <m/>
    <m/>
    <n v="22201"/>
    <n v="5693"/>
    <n v="963140"/>
    <n v="341438"/>
    <s v="C"/>
    <n v="195"/>
    <n v="53"/>
    <n v="3679"/>
    <n v="37805"/>
    <s v="Hard"/>
    <n v="6433"/>
    <n v="1"/>
    <n v="0"/>
    <m/>
    <n v="605"/>
    <n v="87"/>
    <n v="78"/>
    <n v="100000"/>
    <n v="13"/>
    <n v="11"/>
    <n v="0"/>
    <n v="2"/>
    <n v="2"/>
    <n v="0"/>
    <m/>
    <m/>
    <m/>
    <m/>
    <s v="daa80905eee0e777d0b807d8b4aafa1c"/>
    <s v="0.251"/>
    <m/>
    <m/>
    <m/>
    <m/>
    <s v="en"/>
    <s v="2.0"/>
    <m/>
    <s v="https://online.pmb.widyatama.ac.id/"/>
    <d v="2026-08-15T16:56:33"/>
  </r>
  <r>
    <s v="https://pmb.widyatama.ac.id/aktivitas-civitas/"/>
    <s v="text/html; charset=UTF-8"/>
    <x v="0"/>
    <m/>
    <x v="0"/>
    <m/>
    <s v="Aktivitas Civitas - PMB UTama"/>
    <n v="29"/>
    <n v="270"/>
    <m/>
    <n v="0"/>
    <n v="0"/>
    <m/>
    <n v="0"/>
    <s v="The Rapid Advancement of Digital Technology"/>
    <n v="43"/>
    <s v="Democracy in Indonesia: Why It Feels Weak at the Grassroots"/>
    <n v="59"/>
    <s v="Berbagai Aktivitas Sivitas di Universitas Widyatama"/>
    <n v="51"/>
    <s v="Fasilitas"/>
    <n v="9"/>
    <s v="index, follow, max-image-preview:large, max-snippet:-1, max-video-preview:-1"/>
    <m/>
    <m/>
    <s v="https://pmb.widyatama.ac.id/aktivitas-civitas/"/>
    <m/>
    <m/>
    <m/>
    <m/>
    <m/>
    <n v="152369"/>
    <n v="32837"/>
    <n v="3320960"/>
    <n v="1177297"/>
    <s v="F"/>
    <n v="162"/>
    <n v="44"/>
    <n v="3682"/>
    <n v="31287"/>
    <s v="Hard"/>
    <n v="1351"/>
    <n v="1"/>
    <n v="1"/>
    <m/>
    <n v="320"/>
    <n v="77"/>
    <n v="76"/>
    <n v="88510"/>
    <n v="122"/>
    <n v="35"/>
    <n v="0"/>
    <n v="8"/>
    <n v="7"/>
    <n v="2"/>
    <m/>
    <m/>
    <m/>
    <m/>
    <s v="edfffc6c3beae9324d073c7621802369"/>
    <s v="0.101"/>
    <s v="Saturday, 15-Aug-2026 09:56:34 GMT"/>
    <m/>
    <m/>
    <m/>
    <s v="en-US"/>
    <s v="None"/>
    <m/>
    <s v="https://pmb.widyatama.ac.id/aktivitas-civitas/"/>
    <d v="2026-08-15T16:56:33"/>
  </r>
  <r>
    <s v="https://pmb.widyatama.ac.id/program-pascasarjana/"/>
    <s v="text/html; charset=UTF-8"/>
    <x v="0"/>
    <m/>
    <x v="0"/>
    <m/>
    <s v="Program Pascasarjana - PMB UTama"/>
    <n v="32"/>
    <n v="332"/>
    <m/>
    <n v="0"/>
    <n v="0"/>
    <m/>
    <n v="0"/>
    <s v="Program Pascasarjana Widyatama Bandung untuk Pengembangan Karier, Riset, dan Kepakaran"/>
    <n v="86"/>
    <m/>
    <n v="0"/>
    <s v="Masih membandingkan S2, S3, atau program profesi?"/>
    <n v="49"/>
    <s v="Mulai Langkah Studi Pascasarjana di Widyatama"/>
    <n v="45"/>
    <s v="index, follow, max-image-preview:large, max-snippet:-1, max-video-preview:-1"/>
    <m/>
    <m/>
    <s v="https://pmb.widyatama.ac.id/program-pascasarjana/"/>
    <m/>
    <m/>
    <m/>
    <m/>
    <m/>
    <n v="197423"/>
    <n v="41954"/>
    <n v="2177616"/>
    <n v="771976"/>
    <s v="E"/>
    <n v="1045"/>
    <n v="179"/>
    <n v="5838"/>
    <s v="0.000"/>
    <s v="Very Hard"/>
    <n v="3595"/>
    <n v="1"/>
    <n v="1"/>
    <m/>
    <n v="325"/>
    <n v="77"/>
    <n v="76"/>
    <n v="88510"/>
    <n v="134"/>
    <n v="30"/>
    <n v="2"/>
    <n v="23"/>
    <n v="12"/>
    <n v="3"/>
    <m/>
    <m/>
    <m/>
    <m/>
    <s v="2f64f1d152046fa82dfa3568f4e801d5"/>
    <s v="0.111"/>
    <s v="Saturday, 15-Aug-2026 09:56:37 GMT"/>
    <m/>
    <m/>
    <m/>
    <s v="en-US"/>
    <s v="None"/>
    <m/>
    <s v="https://pmb.widyatama.ac.id/program-pascasarjana/"/>
    <d v="2026-08-15T16:56:36"/>
  </r>
  <r>
    <s v="https://pmb.widyatama.ac.id/cek-jalur-pendaftaran/"/>
    <s v="text/html; charset=UTF-8"/>
    <x v="0"/>
    <m/>
    <x v="0"/>
    <m/>
    <s v="Cek Jalur Pendaftaran - PMB UTama"/>
    <n v="33"/>
    <n v="326"/>
    <m/>
    <n v="0"/>
    <n v="0"/>
    <m/>
    <n v="0"/>
    <s v="Kalkulator Jalur &amp; Beasiswa PMB Universitas Widyatama"/>
    <n v="53"/>
    <m/>
    <n v="0"/>
    <s v="Gunakan hasil simulasi untuk menentukan langkah pendaftaran berikutnya."/>
    <n v="71"/>
    <s v="Gunakan Data yang Sudah Dimiliki Calon Mahasiswa"/>
    <n v="48"/>
    <s v="index, follow, max-image-preview:large, max-snippet:-1, max-video-preview:-1"/>
    <m/>
    <m/>
    <s v="https://pmb.widyatama.ac.id/cek-jalur-pendaftaran/"/>
    <m/>
    <m/>
    <m/>
    <m/>
    <m/>
    <n v="188679"/>
    <n v="42962"/>
    <n v="1135376"/>
    <n v="402496"/>
    <s v="C"/>
    <n v="596"/>
    <n v="154"/>
    <n v="3870"/>
    <n v="3046"/>
    <s v="Very Hard"/>
    <n v="2370"/>
    <n v="1"/>
    <n v="1"/>
    <m/>
    <n v="159"/>
    <n v="77"/>
    <n v="77"/>
    <n v="88510"/>
    <n v="113"/>
    <n v="28"/>
    <n v="0"/>
    <n v="9"/>
    <n v="8"/>
    <n v="2"/>
    <m/>
    <m/>
    <m/>
    <m/>
    <s v="5190830b49f82338c8a28484ea38b206"/>
    <n v="2479"/>
    <s v="Saturday, 15-Aug-2026 09:56:46 GMT"/>
    <m/>
    <m/>
    <m/>
    <s v="en-US"/>
    <s v="2.0"/>
    <m/>
    <s v="https://pmb.widyatama.ac.id/cek-jalur-pendaftaran/"/>
    <d v="2026-08-15T16:56:45"/>
  </r>
  <r>
    <s v="https://pmb.widyatama.ac.id/program-reguler/"/>
    <s v="text/html; charset=UTF-8"/>
    <x v="0"/>
    <m/>
    <x v="0"/>
    <m/>
    <s v="Program Reguler - PMB UTama"/>
    <n v="27"/>
    <n v="276"/>
    <m/>
    <n v="0"/>
    <n v="0"/>
    <m/>
    <n v="0"/>
    <s v="Program Reguler Widyatama Bandung: Kuliah D3, D4, dan S1 untuk Lulusan SMA/SMK/MA"/>
    <n v="81"/>
    <m/>
    <n v="0"/>
    <s v="Masih bingung memilih prodi, jalur, atau estimasi biaya?"/>
    <n v="56"/>
    <s v="Mulai Rencanakan Kuliah Reguler di Widyatama"/>
    <n v="44"/>
    <s v="index, follow, max-image-preview:large, max-snippet:-1, max-video-preview:-1"/>
    <m/>
    <m/>
    <s v="https://pmb.widyatama.ac.id/program-reguler/"/>
    <m/>
    <m/>
    <m/>
    <m/>
    <m/>
    <n v="213922"/>
    <n v="44908"/>
    <n v="2867016"/>
    <n v="1016372"/>
    <s v="F"/>
    <n v="1433"/>
    <n v="254"/>
    <n v="5642"/>
    <n v="3453"/>
    <s v="Very Hard"/>
    <n v="4231"/>
    <n v="1"/>
    <n v="1"/>
    <m/>
    <n v="320"/>
    <n v="77"/>
    <n v="76"/>
    <n v="88510"/>
    <n v="178"/>
    <n v="50"/>
    <n v="0"/>
    <n v="19"/>
    <n v="8"/>
    <n v="3"/>
    <m/>
    <m/>
    <m/>
    <m/>
    <s v="ee53e78bd236478123b92c94ffa2f6c9"/>
    <s v="0.119"/>
    <s v="Saturday, 15-Aug-2026 09:56:40 GMT"/>
    <m/>
    <m/>
    <m/>
    <s v="en-US"/>
    <s v="None"/>
    <m/>
    <s v="https://pmb.widyatama.ac.id/program-reguler/"/>
    <d v="2026-08-15T16:56:39"/>
  </r>
  <r>
    <s v="https://pmb.widyatama.ac.id/program-kelas-karyawan/"/>
    <s v="text/html; charset=UTF-8"/>
    <x v="0"/>
    <m/>
    <x v="0"/>
    <m/>
    <s v="Program Kelas Karyawan - PMB UTama"/>
    <n v="34"/>
    <n v="353"/>
    <m/>
    <n v="0"/>
    <n v="0"/>
    <m/>
    <n v="0"/>
    <s v="Program Kelas Karyawan Widyatama Bandung untuk Kuliah Sambil Kerja"/>
    <n v="66"/>
    <m/>
    <n v="0"/>
    <s v="Masih ragu jadwal kuliah cocok dengan pekerjaan Anda?"/>
    <n v="53"/>
    <s v="Mulai Langkah Naik Level Karier dengan Kelas Karyawan Widyatama"/>
    <n v="63"/>
    <s v="index, follow, max-image-preview:large, max-snippet:-1, max-video-preview:-1"/>
    <m/>
    <m/>
    <s v="https://pmb.widyatama.ac.id/program-kelas-karyawan/"/>
    <m/>
    <m/>
    <m/>
    <m/>
    <m/>
    <n v="204815"/>
    <n v="42450"/>
    <n v="2487114"/>
    <n v="881694"/>
    <s v="F"/>
    <n v="1636"/>
    <n v="300"/>
    <n v="5453"/>
    <n v="1125"/>
    <s v="Very Hard"/>
    <n v="4859"/>
    <n v="1"/>
    <n v="1"/>
    <m/>
    <n v="318"/>
    <n v="77"/>
    <n v="76"/>
    <n v="88510"/>
    <n v="173"/>
    <n v="46"/>
    <n v="0"/>
    <n v="23"/>
    <n v="9"/>
    <n v="4"/>
    <m/>
    <m/>
    <m/>
    <m/>
    <s v="16880b60e16c1d453dda67e1bcbdce3f"/>
    <n v="1907"/>
    <s v="Saturday, 15-Aug-2026 09:56:49 GMT"/>
    <m/>
    <m/>
    <m/>
    <s v="en-US"/>
    <s v="2.0"/>
    <m/>
    <s v="https://pmb.widyatama.ac.id/program-kelas-karyawan/"/>
    <d v="2026-08-15T16:56:48"/>
  </r>
  <r>
    <s v="https://pmb.widyatama.ac.id/pengumuman-hasil-seleksi/"/>
    <s v="text/html; charset=UTF-8"/>
    <x v="1"/>
    <m/>
    <x v="1"/>
    <s v="Client Error"/>
    <m/>
    <n v="0"/>
    <n v="0"/>
    <m/>
    <n v="0"/>
    <n v="0"/>
    <m/>
    <n v="0"/>
    <m/>
    <n v="0"/>
    <m/>
    <n v="0"/>
    <m/>
    <n v="0"/>
    <m/>
    <n v="0"/>
    <m/>
    <m/>
    <m/>
    <m/>
    <m/>
    <m/>
    <m/>
    <m/>
    <m/>
    <n v="120632"/>
    <n v="28178"/>
    <n v="897539"/>
    <n v="318182"/>
    <s v="B"/>
    <n v="0"/>
    <m/>
    <m/>
    <m/>
    <m/>
    <s v="0.000"/>
    <n v="1"/>
    <n v="1"/>
    <m/>
    <n v="1"/>
    <n v="1"/>
    <n v="0"/>
    <n v="1150"/>
    <n v="0"/>
    <n v="0"/>
    <n v="0"/>
    <n v="0"/>
    <n v="0"/>
    <n v="0"/>
    <m/>
    <m/>
    <m/>
    <m/>
    <m/>
    <n v="2671"/>
    <m/>
    <m/>
    <m/>
    <m/>
    <m/>
    <s v="2.0"/>
    <m/>
    <s v="https://pmb.widyatama.ac.id/pengumuman-hasil-seleksi/"/>
    <d v="2026-08-15T16:57:02"/>
  </r>
  <r>
    <s v="https://pmb.widyatama.ac.id/fasilitas/"/>
    <s v="text/html; charset=UTF-8"/>
    <x v="0"/>
    <m/>
    <x v="0"/>
    <m/>
    <s v="Fasilitas - PMB UTama"/>
    <n v="21"/>
    <n v="203"/>
    <m/>
    <n v="0"/>
    <n v="0"/>
    <m/>
    <n v="0"/>
    <s v="Fasilitas Universitas Widyatama"/>
    <n v="31"/>
    <m/>
    <n v="0"/>
    <s v="Lingkungan kampus dirancang untuk mendukung belajar, berkolaborasi, dan berkembang."/>
    <n v="83"/>
    <s v="Jelajahi Fasilitas Berdasarkan Kebutuhan"/>
    <n v="40"/>
    <s v="index, follow, max-image-preview:large, max-snippet:-1, max-video-preview:-1"/>
    <m/>
    <m/>
    <s v="https://pmb.widyatama.ac.id/fasilitas/"/>
    <m/>
    <m/>
    <m/>
    <m/>
    <m/>
    <n v="175811"/>
    <n v="37161"/>
    <n v="25538029"/>
    <n v="9053359"/>
    <s v="F"/>
    <n v="759"/>
    <n v="190"/>
    <n v="3995"/>
    <s v="0.000"/>
    <s v="Very Hard"/>
    <n v="3290"/>
    <n v="1"/>
    <n v="1"/>
    <m/>
    <n v="326"/>
    <n v="77"/>
    <n v="81"/>
    <n v="88510"/>
    <n v="132"/>
    <n v="28"/>
    <n v="0"/>
    <n v="8"/>
    <n v="7"/>
    <n v="2"/>
    <m/>
    <m/>
    <m/>
    <m/>
    <s v="31247a5ea2b419d3d9f136a97c7c14b8"/>
    <s v="0.954"/>
    <s v="Saturday, 15-Aug-2026 09:56:51 GMT"/>
    <m/>
    <m/>
    <m/>
    <s v="en-US"/>
    <s v="2.0"/>
    <m/>
    <s v="https://pmb.widyatama.ac.id/fasilitas/"/>
    <d v="2026-08-15T16:56:50"/>
  </r>
  <r>
    <s v="https://pmb.widyatama.ac.id/cek-kelulusan/"/>
    <s v="text/html; charset=UTF-8"/>
    <x v="1"/>
    <m/>
    <x v="1"/>
    <s v="Client Error"/>
    <m/>
    <n v="0"/>
    <n v="0"/>
    <m/>
    <n v="0"/>
    <n v="0"/>
    <m/>
    <n v="0"/>
    <m/>
    <n v="0"/>
    <m/>
    <n v="0"/>
    <m/>
    <n v="0"/>
    <m/>
    <n v="0"/>
    <m/>
    <m/>
    <m/>
    <m/>
    <m/>
    <m/>
    <m/>
    <m/>
    <m/>
    <n v="120610"/>
    <n v="28673"/>
    <n v="881425"/>
    <n v="312470"/>
    <s v="B"/>
    <n v="0"/>
    <m/>
    <m/>
    <m/>
    <m/>
    <s v="0.000"/>
    <n v="1"/>
    <n v="1"/>
    <m/>
    <n v="306"/>
    <n v="77"/>
    <n v="76"/>
    <n v="88510"/>
    <n v="0"/>
    <n v="0"/>
    <n v="0"/>
    <n v="0"/>
    <n v="0"/>
    <n v="0"/>
    <m/>
    <m/>
    <m/>
    <m/>
    <m/>
    <n v="3525"/>
    <m/>
    <m/>
    <m/>
    <m/>
    <m/>
    <s v="None"/>
    <m/>
    <s v="https://pmb.widyatama.ac.id/cek-kelulusan/"/>
    <d v="2026-08-15T16:57:10"/>
  </r>
  <r>
    <s v="https://pmb.widyatama.ac.id/registrasi/"/>
    <s v="text/html; charset=UTF-8"/>
    <x v="1"/>
    <m/>
    <x v="1"/>
    <s v="Client Error"/>
    <m/>
    <n v="0"/>
    <n v="0"/>
    <m/>
    <n v="0"/>
    <n v="0"/>
    <m/>
    <n v="0"/>
    <m/>
    <n v="0"/>
    <m/>
    <n v="0"/>
    <m/>
    <n v="0"/>
    <m/>
    <n v="0"/>
    <m/>
    <m/>
    <m/>
    <m/>
    <m/>
    <m/>
    <m/>
    <m/>
    <m/>
    <n v="120604"/>
    <n v="28075"/>
    <n v="897875"/>
    <n v="318301"/>
    <s v="B"/>
    <n v="0"/>
    <m/>
    <m/>
    <m/>
    <m/>
    <s v="0.000"/>
    <n v="1"/>
    <n v="1"/>
    <m/>
    <n v="1"/>
    <n v="1"/>
    <n v="0"/>
    <n v="1150"/>
    <n v="0"/>
    <n v="0"/>
    <n v="0"/>
    <n v="0"/>
    <n v="0"/>
    <n v="0"/>
    <m/>
    <m/>
    <m/>
    <m/>
    <m/>
    <n v="2570"/>
    <m/>
    <m/>
    <m/>
    <m/>
    <m/>
    <s v="2.0"/>
    <m/>
    <s v="https://pmb.widyatama.ac.id/registrasi/"/>
    <d v="2026-08-15T16:57:08"/>
  </r>
  <r>
    <s v="https://pmb.widyatama.ac.id/jalur-seleksi/"/>
    <s v="text/html; charset=UTF-8"/>
    <x v="0"/>
    <m/>
    <x v="0"/>
    <m/>
    <s v="Jalur Seleksi - PMB UTama"/>
    <n v="25"/>
    <n v="241"/>
    <m/>
    <n v="0"/>
    <n v="0"/>
    <m/>
    <n v="0"/>
    <s v="Jalur Seleksi Universitas Widyatama"/>
    <n v="35"/>
    <m/>
    <n v="0"/>
    <s v="Pilih jenjang dulu, lalu bandingkan jalur yang tersedia."/>
    <n v="56"/>
    <s v="Jalur Mana yang Ingin Anda Lihat?"/>
    <n v="33"/>
    <s v="index, follow, max-image-preview:large, max-snippet:-1, max-video-preview:-1"/>
    <m/>
    <m/>
    <s v="https://pmb.widyatama.ac.id/jalur-seleksi/"/>
    <m/>
    <m/>
    <m/>
    <m/>
    <m/>
    <n v="165035"/>
    <n v="36227"/>
    <n v="3098115"/>
    <n v="1098297"/>
    <s v="F"/>
    <n v="504"/>
    <n v="114"/>
    <n v="4421"/>
    <n v="11494"/>
    <s v="Very Hard"/>
    <n v="2302"/>
    <n v="1"/>
    <n v="1"/>
    <m/>
    <n v="395"/>
    <n v="77"/>
    <n v="81"/>
    <n v="88510"/>
    <n v="136"/>
    <n v="39"/>
    <n v="0"/>
    <n v="15"/>
    <n v="8"/>
    <n v="3"/>
    <m/>
    <m/>
    <m/>
    <m/>
    <s v="7883d95a0ab8b109078fff5ef7bd12d7"/>
    <s v="0.077"/>
    <s v="Saturday, 15-Aug-2026 09:56:42 GMT"/>
    <m/>
    <m/>
    <m/>
    <s v="en-US"/>
    <s v="None"/>
    <m/>
    <s v="https://pmb.widyatama.ac.id/jalur-seleksi/"/>
    <d v="2026-08-15T16:56:41"/>
  </r>
  <r>
    <s v="https://pmb.widyatama.ac.id/biaya-kuliah-rpl/"/>
    <s v="text/html; charset=UTF-8"/>
    <x v="0"/>
    <m/>
    <x v="0"/>
    <m/>
    <s v="Biaya Kuliah RPL - PMB UTama"/>
    <n v="28"/>
    <n v="278"/>
    <m/>
    <n v="0"/>
    <n v="0"/>
    <m/>
    <n v="0"/>
    <s v="Biaya Kuliah RPL Widyatama Bandung 2026/2027"/>
    <n v="44"/>
    <m/>
    <n v="0"/>
    <s v="RPL membuat biaya lebih relevan dengan SKS yang masih perlu ditempuh"/>
    <n v="68"/>
    <s v="Simulasi Biaya Program RPL"/>
    <n v="26"/>
    <s v="index, follow, max-image-preview:large, max-snippet:-1, max-video-preview:-1"/>
    <m/>
    <m/>
    <s v="https://pmb.widyatama.ac.id/biaya-kuliah-rpl/"/>
    <m/>
    <m/>
    <m/>
    <m/>
    <m/>
    <n v="248326"/>
    <n v="54580"/>
    <n v="2441722"/>
    <n v="865603"/>
    <s v="F"/>
    <n v="1450"/>
    <n v="249"/>
    <n v="5823"/>
    <n v="41118"/>
    <s v="Hard"/>
    <n v="3832"/>
    <n v="1"/>
    <n v="1"/>
    <m/>
    <n v="335"/>
    <n v="77"/>
    <n v="76"/>
    <n v="88510"/>
    <n v="130"/>
    <n v="30"/>
    <n v="1"/>
    <n v="16"/>
    <n v="8"/>
    <n v="3"/>
    <m/>
    <m/>
    <m/>
    <m/>
    <s v="31f1b50eafcdb354522e04346ff010a2"/>
    <s v="0.105"/>
    <s v="Saturday, 15-Aug-2026 09:57:10 GMT"/>
    <m/>
    <m/>
    <m/>
    <s v="en-US"/>
    <s v="None"/>
    <m/>
    <s v="https://pmb.widyatama.ac.id/biaya-kuliah-rpl/"/>
    <d v="2026-08-15T16:57:09"/>
  </r>
  <r>
    <s v="https://pmb.widyatama.ac.id/apresiasi-prestasi-mahasiswa/"/>
    <s v="text/html; charset=UTF-8"/>
    <x v="0"/>
    <m/>
    <x v="0"/>
    <m/>
    <s v="Apresiasi Prestasi Mahasiswa - PMB UTama"/>
    <n v="40"/>
    <n v="396"/>
    <m/>
    <n v="0"/>
    <n v="0"/>
    <m/>
    <n v="0"/>
    <s v="Apresiasi Prestasi Mahasiswa Universitas Widyatama"/>
    <n v="50"/>
    <m/>
    <n v="0"/>
    <s v="Apresiasi ini berlaku setelah mahasiswa resmi menjadi mahasiswa aktif."/>
    <n v="70"/>
    <s v="Prestasi Mahasiswa Aktif Mendapat Ruang Apresiasi"/>
    <n v="49"/>
    <s v="index, follow, max-image-preview:large, max-snippet:-1, max-video-preview:-1"/>
    <m/>
    <m/>
    <s v="https://pmb.widyatama.ac.id/apresiasi-prestasi-mahasiswa/"/>
    <m/>
    <m/>
    <m/>
    <m/>
    <m/>
    <n v="151958"/>
    <n v="34330"/>
    <n v="1726023"/>
    <n v="611884"/>
    <s v="D"/>
    <n v="394"/>
    <n v="101"/>
    <n v="3901"/>
    <s v="0.000"/>
    <s v="Very Hard"/>
    <n v="2259"/>
    <n v="1"/>
    <n v="1"/>
    <m/>
    <n v="316"/>
    <n v="77"/>
    <n v="76"/>
    <n v="88510"/>
    <n v="127"/>
    <n v="29"/>
    <n v="0"/>
    <n v="8"/>
    <n v="7"/>
    <n v="2"/>
    <m/>
    <m/>
    <m/>
    <m/>
    <s v="51b9b0d68db4c797a121cfb6826fb407"/>
    <n v="1073"/>
    <s v="Saturday, 15-Aug-2026 09:57:44 GMT"/>
    <m/>
    <m/>
    <m/>
    <s v="en-US"/>
    <s v="2.0"/>
    <m/>
    <s v="https://pmb.widyatama.ac.id/apresiasi-prestasi-mahasiswa/"/>
    <d v="2026-08-15T16:57:44"/>
  </r>
  <r>
    <s v="https://pmb.widyatama.ac.id/asuransi-mahasiswa/"/>
    <s v="text/html; charset=UTF-8"/>
    <x v="0"/>
    <m/>
    <x v="0"/>
    <m/>
    <s v="Asuransi Mahasiswa - PMB UTama"/>
    <n v="30"/>
    <n v="314"/>
    <m/>
    <n v="0"/>
    <n v="0"/>
    <m/>
    <n v="0"/>
    <s v="Asuransi Mahasiswa Universitas Widyatama"/>
    <n v="40"/>
    <m/>
    <n v="0"/>
    <s v="Asuransi dapat dimanfaatkan ketika terjadi hal yang tidak diinginkan selama masa studi."/>
    <n v="87"/>
    <s v="Perlindungan untuk Mahasiswa Selama Masa Studi"/>
    <n v="46"/>
    <s v="index, follow, max-image-preview:large, max-snippet:-1, max-video-preview:-1"/>
    <m/>
    <m/>
    <s v="https://pmb.widyatama.ac.id/asuransi-mahasiswa/"/>
    <m/>
    <m/>
    <m/>
    <m/>
    <m/>
    <n v="152295"/>
    <n v="34118"/>
    <n v="2336330"/>
    <n v="828241"/>
    <s v="E"/>
    <n v="401"/>
    <n v="103"/>
    <n v="3893"/>
    <s v="0.000"/>
    <s v="Very Hard"/>
    <n v="2239"/>
    <n v="1"/>
    <n v="1"/>
    <m/>
    <n v="316"/>
    <n v="77"/>
    <n v="76"/>
    <n v="88510"/>
    <n v="127"/>
    <n v="28"/>
    <n v="0"/>
    <n v="8"/>
    <n v="7"/>
    <n v="2"/>
    <m/>
    <m/>
    <m/>
    <m/>
    <s v="334fa0a13988bb75399b726be597ea7c"/>
    <s v="0.554"/>
    <s v="Saturday, 15-Aug-2026 09:57:46 GMT"/>
    <m/>
    <m/>
    <m/>
    <s v="en-US"/>
    <s v="2.0"/>
    <m/>
    <s v="https://pmb.widyatama.ac.id/asuransi-mahasiswa/"/>
    <d v="2026-08-15T16:57:45"/>
  </r>
  <r>
    <s v="https://pmb.widyatama.ac.id/organisasi-kemahasiswaan/"/>
    <s v="text/html; charset=UTF-8"/>
    <x v="0"/>
    <m/>
    <x v="0"/>
    <m/>
    <s v="Organisasi Kemahasiswaan - PMB UTama"/>
    <n v="36"/>
    <n v="377"/>
    <m/>
    <n v="0"/>
    <n v="0"/>
    <m/>
    <n v="0"/>
    <s v="UKM Paduan Suara Mahasiswa Utama PSM"/>
    <n v="36"/>
    <s v="UKM Winner Cabaret"/>
    <n v="18"/>
    <s v="Berbagai Organisasi Kemahasiswaan di Universitas Widyatama"/>
    <n v="58"/>
    <s v="Fasilitas"/>
    <n v="9"/>
    <s v="index, follow, max-image-preview:large, max-snippet:-1, max-video-preview:-1"/>
    <m/>
    <m/>
    <s v="https://pmb.widyatama.ac.id/organisasi-kemahasiswaan/"/>
    <m/>
    <m/>
    <m/>
    <m/>
    <m/>
    <n v="220600"/>
    <n v="35643"/>
    <n v="3481883"/>
    <n v="1234345"/>
    <s v="F"/>
    <n v="187"/>
    <n v="79"/>
    <n v="2367"/>
    <s v="0.000"/>
    <s v="Very Hard"/>
    <n v="1164"/>
    <n v="1"/>
    <n v="1"/>
    <m/>
    <n v="320"/>
    <n v="77"/>
    <n v="76"/>
    <n v="88510"/>
    <n v="112"/>
    <n v="28"/>
    <n v="0"/>
    <n v="33"/>
    <n v="32"/>
    <n v="2"/>
    <m/>
    <m/>
    <m/>
    <m/>
    <s v="bd54fa5c8ebf3c9246e268b55731aacb"/>
    <s v="0.492"/>
    <s v="Saturday, 15-Aug-2026 09:57:49 GMT"/>
    <m/>
    <m/>
    <m/>
    <s v="en-US"/>
    <s v="None"/>
    <m/>
    <s v="https://pmb.widyatama.ac.id/organisasi-kemahasiswaan/"/>
    <d v="2026-08-15T16:57:48"/>
  </r>
  <r>
    <s v="https://pmb.widyatama.ac.id/jalur-seleksi-unggulan/"/>
    <s v="text/html; charset=UTF-8"/>
    <x v="0"/>
    <m/>
    <x v="0"/>
    <m/>
    <s v="Jalur Seleksi Unggulan - PMB UTama"/>
    <n v="34"/>
    <n v="330"/>
    <m/>
    <n v="0"/>
    <n v="0"/>
    <m/>
    <n v="0"/>
    <s v="Jalur Seleksi Beasiswa Unggulan Diploma &amp; Sarjana"/>
    <n v="49"/>
    <m/>
    <n v="0"/>
    <s v="Jalur beasiswa bagi siswa dengan capaian akademik baik dan peluang seleksi yang lebih luas."/>
    <n v="91"/>
    <s v="Jalur Unggulan Cocok untuk Calon Mahasiswa dengan Prestasi Baik dan Konsisten"/>
    <n v="77"/>
    <s v="index, follow, max-image-preview:large, max-snippet:-1, max-video-preview:-1"/>
    <m/>
    <m/>
    <s v="https://pmb.widyatama.ac.id/jalur-seleksi-unggulan/"/>
    <m/>
    <m/>
    <m/>
    <m/>
    <m/>
    <n v="176380"/>
    <n v="38300"/>
    <n v="811056"/>
    <n v="287523"/>
    <s v="B"/>
    <n v="809"/>
    <n v="164"/>
    <n v="4933"/>
    <n v="16105"/>
    <s v="Very Hard"/>
    <n v="3039"/>
    <n v="2"/>
    <n v="1"/>
    <m/>
    <n v="13"/>
    <n v="8"/>
    <n v="1"/>
    <n v="9200"/>
    <n v="127"/>
    <n v="35"/>
    <n v="0"/>
    <n v="16"/>
    <n v="8"/>
    <n v="3"/>
    <m/>
    <m/>
    <m/>
    <m/>
    <s v="1996915f334b55010d2ae4f3d9ae5f69"/>
    <s v="0.572"/>
    <s v="Saturday, 15-Aug-2026 09:57:51 GMT"/>
    <m/>
    <m/>
    <m/>
    <s v="en-US"/>
    <s v="None"/>
    <m/>
    <s v="https://pmb.widyatama.ac.id/jalur-seleksi-unggulan/"/>
    <d v="2026-08-15T16:57:51"/>
  </r>
  <r>
    <s v="https://pmb.widyatama.ac.id/jalur-reguler-pendidikan-profesi/"/>
    <s v="text/html; charset=UTF-8"/>
    <x v="0"/>
    <m/>
    <x v="0"/>
    <m/>
    <s v="Jalur Reguler Pendidikan Profesi - PMB UTama"/>
    <n v="44"/>
    <n v="416"/>
    <m/>
    <n v="0"/>
    <n v="0"/>
    <m/>
    <n v="0"/>
    <s v="Jalur Pendidikan Profesi Program Profesi Akuntan (PPAk)"/>
    <n v="55"/>
    <m/>
    <n v="0"/>
    <s v="Siapkan diri menjadi akuntan profesional dengan kompetensi yang diakui secara formal."/>
    <n v="85"/>
    <s v="PPAk Cocok untuk Lulusan S1/D4 yang Ingin Menguatkan Kompetensi Profesi Akuntan"/>
    <n v="79"/>
    <s v="index, follow, max-image-preview:large, max-snippet:-1, max-video-preview:-1"/>
    <m/>
    <m/>
    <s v="https://pmb.widyatama.ac.id/jalur-reguler-pendidikan-profesi/"/>
    <m/>
    <m/>
    <m/>
    <m/>
    <m/>
    <n v="171323"/>
    <n v="37660"/>
    <n v="2380837"/>
    <n v="844019"/>
    <s v="E"/>
    <n v="822"/>
    <n v="156"/>
    <n v="5269"/>
    <s v="0.000"/>
    <s v="Very Hard"/>
    <n v="3318"/>
    <n v="2"/>
    <n v="1"/>
    <m/>
    <n v="10"/>
    <n v="5"/>
    <n v="1"/>
    <n v="5750"/>
    <n v="127"/>
    <n v="33"/>
    <n v="1"/>
    <n v="16"/>
    <n v="8"/>
    <n v="3"/>
    <m/>
    <m/>
    <m/>
    <m/>
    <s v="2eca1756c989ea42ac242ed0f86f9af2"/>
    <s v="0.237"/>
    <s v="Saturday, 15-Aug-2026 09:57:50 GMT"/>
    <m/>
    <m/>
    <m/>
    <s v="en-US"/>
    <s v="None"/>
    <m/>
    <s v="https://pmb.widyatama.ac.id/jalur-reguler-pendidikan-profesi/"/>
    <d v="2026-08-15T16:57:50"/>
  </r>
  <r>
    <s v="https://pmb.widyatama.ac.id/jalur-pasca-reguler-maksi/"/>
    <s v="text/html; charset=UTF-8"/>
    <x v="0"/>
    <m/>
    <x v="0"/>
    <m/>
    <s v="Jalur Pasca Reguler MAKSI - PMB UTama"/>
    <n v="37"/>
    <n v="370"/>
    <m/>
    <n v="0"/>
    <n v="0"/>
    <m/>
    <n v="0"/>
    <s v="Jalur Pascasarjana Reguler Magister Akuntansi (MAKSI)"/>
    <n v="53"/>
    <m/>
    <n v="0"/>
    <s v="Perkuat keahlian audit, perpajakan, keuangan, dan akuntansi manajerial strategis."/>
    <n v="81"/>
    <s v="Program MAKSI Cocok untuk Lulusan Sarjana yang Ingin Memperkuat Kompetensi Akuntansi Profesional"/>
    <n v="96"/>
    <s v="index, follow, max-image-preview:large, max-snippet:-1, max-video-preview:-1"/>
    <m/>
    <m/>
    <s v="https://pmb.widyatama.ac.id/jalur-pasca-reguler-maksi/"/>
    <m/>
    <m/>
    <m/>
    <m/>
    <m/>
    <n v="171783"/>
    <n v="37690"/>
    <n v="2564397"/>
    <n v="909092"/>
    <s v="F"/>
    <n v="817"/>
    <n v="160"/>
    <n v="5106"/>
    <s v="0.000"/>
    <s v="Very Hard"/>
    <n v="3347"/>
    <n v="2"/>
    <n v="1"/>
    <m/>
    <n v="10"/>
    <n v="5"/>
    <n v="1"/>
    <n v="5750"/>
    <n v="127"/>
    <n v="33"/>
    <n v="1"/>
    <n v="16"/>
    <n v="8"/>
    <n v="3"/>
    <m/>
    <m/>
    <m/>
    <m/>
    <s v="81b5055f1f40c4d9e8fd6b3192455263"/>
    <n v="20578"/>
    <s v="Saturday, 15-Aug-2026 09:58:21 GMT"/>
    <m/>
    <m/>
    <m/>
    <s v="en-US"/>
    <s v="2.0"/>
    <m/>
    <s v="https://pmb.widyatama.ac.id/jalur-pasca-reguler-maksi/"/>
    <d v="2026-08-15T16:58:01"/>
  </r>
  <r>
    <s v="https://pmb.widyatama.ac.id/jalur-pasca-reguler-mm/"/>
    <s v="text/html; charset=UTF-8"/>
    <x v="0"/>
    <m/>
    <x v="0"/>
    <m/>
    <s v="Jalur Pasca Reguler MM - PMB UTama"/>
    <n v="34"/>
    <n v="345"/>
    <m/>
    <n v="0"/>
    <n v="0"/>
    <m/>
    <n v="0"/>
    <s v="Jalur Pascasarjana Reguler Magister Manajemen (MM)"/>
    <n v="50"/>
    <m/>
    <n v="0"/>
    <s v="Perkuat kompetensi manajerial, kepemimpinan, dan keputusan bisnis strategis."/>
    <n v="76"/>
    <s v="Program MM Cocok untuk Lulusan Sarjana yang Ingin Naik Kelas secara Manajerial"/>
    <n v="78"/>
    <s v="index, follow, max-image-preview:large, max-snippet:-1, max-video-preview:-1"/>
    <m/>
    <m/>
    <s v="https://pmb.widyatama.ac.id/jalur-pasca-reguler-mm/"/>
    <m/>
    <m/>
    <m/>
    <m/>
    <m/>
    <n v="173579"/>
    <n v="38103"/>
    <n v="2273050"/>
    <n v="805808"/>
    <s v="E"/>
    <n v="791"/>
    <n v="159"/>
    <n v="4975"/>
    <s v="0.000"/>
    <s v="Very Hard"/>
    <n v="3217"/>
    <n v="2"/>
    <n v="1"/>
    <m/>
    <n v="10"/>
    <n v="5"/>
    <n v="1"/>
    <n v="5750"/>
    <n v="127"/>
    <n v="33"/>
    <n v="1"/>
    <n v="16"/>
    <n v="8"/>
    <n v="3"/>
    <m/>
    <m/>
    <m/>
    <m/>
    <s v="ac878136340036da068952bef56c350c"/>
    <n v="3642"/>
    <s v="Saturday, 15-Aug-2026 09:58:21 GMT"/>
    <m/>
    <m/>
    <m/>
    <s v="en-US"/>
    <s v="None"/>
    <m/>
    <s v="https://pmb.widyatama.ac.id/jalur-pasca-reguler-mm/"/>
    <d v="2026-08-15T16:58:18"/>
  </r>
  <r>
    <s v="https://pmb.widyatama.ac.id/jalur-seleksi-mandiri/"/>
    <s v="text/html; charset=UTF-8"/>
    <x v="0"/>
    <m/>
    <x v="0"/>
    <m/>
    <s v="Jalur Seleksi Mandiri - PMB UTama"/>
    <n v="33"/>
    <n v="313"/>
    <m/>
    <n v="0"/>
    <n v="0"/>
    <m/>
    <n v="0"/>
    <s v="Jalur Seleksi Beasiswa Mandiri Diploma &amp; Sarjana"/>
    <n v="48"/>
    <m/>
    <n v="0"/>
    <s v="Kesempatan strategis bagi calon mahasiswa yang ingin tetap bergabung pada tahun akademik berjalan."/>
    <n v="98"/>
    <s v="Jalur Mandiri Cocok untuk Calon Mahasiswa yang Masih Ingin Bergabung di Tahap Akhir PMB"/>
    <n v="87"/>
    <s v="index, follow, max-image-preview:large, max-snippet:-1, max-video-preview:-1"/>
    <m/>
    <m/>
    <s v="https://pmb.widyatama.ac.id/jalur-seleksi-mandiri/"/>
    <m/>
    <m/>
    <m/>
    <m/>
    <m/>
    <n v="177253"/>
    <n v="37712"/>
    <n v="2741274"/>
    <n v="971795"/>
    <s v="F"/>
    <n v="828"/>
    <n v="168"/>
    <n v="4929"/>
    <n v="16183"/>
    <s v="Very Hard"/>
    <n v="3061"/>
    <n v="2"/>
    <n v="1"/>
    <m/>
    <n v="13"/>
    <n v="8"/>
    <n v="1"/>
    <n v="9200"/>
    <n v="129"/>
    <n v="35"/>
    <n v="0"/>
    <n v="16"/>
    <n v="8"/>
    <n v="3"/>
    <m/>
    <m/>
    <m/>
    <m/>
    <s v="f642e847b9453ecc9a95b1a008a327b8"/>
    <s v="0.324"/>
    <s v="Saturday, 15-Aug-2026 09:59:16 GMT"/>
    <m/>
    <m/>
    <m/>
    <s v="en-US"/>
    <s v="2.0"/>
    <m/>
    <s v="https://pmb.widyatama.ac.id/jalur-seleksi-mandiri/"/>
    <d v="2026-08-15T16:59:16"/>
  </r>
  <r>
    <s v="https://pmb.widyatama.ac.id/jalur-seleksi-pmdk/"/>
    <s v="text/html; charset=UTF-8"/>
    <x v="0"/>
    <m/>
    <x v="0"/>
    <m/>
    <s v="Jalur Seleksi PMDK - PMB UTama"/>
    <n v="30"/>
    <n v="302"/>
    <m/>
    <n v="0"/>
    <n v="0"/>
    <m/>
    <n v="0"/>
    <s v="Jalur Seleksi Beasiswa PMDK Diploma &amp; Sarjana"/>
    <n v="45"/>
    <m/>
    <n v="0"/>
    <s v="Seleksi berbasis rekam jejak akademik, tanpa tes tertulis."/>
    <n v="58"/>
    <s v="Jalur PMDK Cocok untuk Siswa dengan Prestasi Akademik Stabil"/>
    <n v="60"/>
    <s v="index, follow, max-image-preview:large, max-snippet:-1, max-video-preview:-1"/>
    <m/>
    <m/>
    <s v="https://pmb.widyatama.ac.id/jalur-seleksi-pmdk/"/>
    <m/>
    <m/>
    <m/>
    <m/>
    <m/>
    <n v="176604"/>
    <n v="38156"/>
    <n v="3323941"/>
    <n v="1178354"/>
    <s v="F"/>
    <n v="776"/>
    <n v="157"/>
    <n v="4943"/>
    <n v="22806"/>
    <s v="Very Hard"/>
    <n v="2908"/>
    <n v="2"/>
    <n v="1"/>
    <m/>
    <n v="13"/>
    <n v="8"/>
    <n v="1"/>
    <n v="9200"/>
    <n v="129"/>
    <n v="35"/>
    <n v="0"/>
    <n v="16"/>
    <n v="8"/>
    <n v="3"/>
    <m/>
    <m/>
    <m/>
    <m/>
    <s v="10ba975958da0bb9be83f54a2a27d928"/>
    <s v="0.422"/>
    <s v="Saturday, 15-Aug-2026 09:59:15 GMT"/>
    <m/>
    <m/>
    <m/>
    <s v="en-US"/>
    <s v="None"/>
    <m/>
    <s v="https://pmb.widyatama.ac.id/jalur-seleksi-pmdk/"/>
    <d v="2026-08-15T16:59:15"/>
  </r>
  <r>
    <s v="https://pmb.widyatama.ac.id/jalur-seleksi-utama/"/>
    <s v="text/html; charset=UTF-8"/>
    <x v="0"/>
    <m/>
    <x v="0"/>
    <m/>
    <s v="Jalur Seleksi UTama - PMB UTama"/>
    <n v="31"/>
    <n v="310"/>
    <m/>
    <n v="0"/>
    <n v="0"/>
    <m/>
    <n v="0"/>
    <s v="Jalur Seleksi Beasiswa UTama Diploma &amp; Sarjana"/>
    <n v="46"/>
    <m/>
    <n v="0"/>
    <s v="Beasiswa penuh untuk siswa dengan capaian akademik tertinggi."/>
    <n v="61"/>
    <s v="Jalur UTama Ditujukan bagi Calon Mahasiswa dengan Prestasi Akademik Sangat Tinggi"/>
    <n v="81"/>
    <s v="index, follow, max-image-preview:large, max-snippet:-1, max-video-preview:-1"/>
    <m/>
    <m/>
    <s v="https://pmb.widyatama.ac.id/jalur-seleksi-utama/"/>
    <m/>
    <m/>
    <m/>
    <m/>
    <m/>
    <n v="173836"/>
    <n v="38024"/>
    <n v="3163009"/>
    <n v="1121303"/>
    <s v="F"/>
    <n v="780"/>
    <n v="156"/>
    <n v="5000"/>
    <n v="6963"/>
    <s v="Very Hard"/>
    <n v="3012"/>
    <n v="2"/>
    <n v="1"/>
    <m/>
    <n v="13"/>
    <n v="8"/>
    <n v="1"/>
    <n v="9200"/>
    <n v="127"/>
    <n v="35"/>
    <n v="0"/>
    <n v="16"/>
    <n v="8"/>
    <n v="3"/>
    <m/>
    <m/>
    <m/>
    <m/>
    <s v="7aae4c375f577f690baf8d20f7c69fbc"/>
    <s v="0.415"/>
    <s v="Saturday, 15-Aug-2026 09:59:17 GMT"/>
    <m/>
    <m/>
    <m/>
    <s v="en-US"/>
    <s v="None"/>
    <m/>
    <s v="https://pmb.widyatama.ac.id/jalur-seleksi-utama/"/>
    <d v="2026-08-15T16:59:16"/>
  </r>
  <r>
    <s v="https://pmb.widyatama.ac.id/jalur-doktoral-reguler/"/>
    <s v="text/html; charset=UTF-8"/>
    <x v="0"/>
    <m/>
    <x v="0"/>
    <m/>
    <s v="Jalur Doktoral Reguler - PMB UTama"/>
    <n v="34"/>
    <n v="323"/>
    <m/>
    <n v="0"/>
    <n v="0"/>
    <m/>
    <n v="0"/>
    <s v="Jalur Doktoral Reguler Universitas Widyatama"/>
    <n v="44"/>
    <m/>
    <n v="0"/>
    <s v="Bangun kontribusi ilmiah melalui penelitian yang terstruktur, mendalam, dan berdampak."/>
    <n v="86"/>
    <s v="Jalur Doktoral Cocok untuk Lulusan Magister yang Siap Mengembangkan Riset Mandiri"/>
    <n v="81"/>
    <s v="index, follow, max-image-preview:large, max-snippet:-1, max-video-preview:-1"/>
    <m/>
    <m/>
    <s v="https://pmb.widyatama.ac.id/jalur-doktoral-reguler/"/>
    <m/>
    <m/>
    <m/>
    <m/>
    <m/>
    <n v="171868"/>
    <n v="37542"/>
    <n v="2797898"/>
    <n v="991869"/>
    <s v="F"/>
    <n v="828"/>
    <n v="168"/>
    <n v="4929"/>
    <s v="0.000"/>
    <s v="Very Hard"/>
    <n v="3395"/>
    <n v="2"/>
    <n v="1"/>
    <m/>
    <n v="10"/>
    <n v="5"/>
    <n v="1"/>
    <n v="5750"/>
    <n v="127"/>
    <n v="33"/>
    <n v="1"/>
    <n v="16"/>
    <n v="8"/>
    <n v="3"/>
    <m/>
    <m/>
    <m/>
    <m/>
    <s v="3de904ab07eebaf17ea60b500da2c80d"/>
    <n v="4114"/>
    <s v="Saturday, 15-Aug-2026 09:59:20 GMT"/>
    <m/>
    <m/>
    <m/>
    <s v="en-US"/>
    <s v="2.0"/>
    <m/>
    <s v="https://pmb.widyatama.ac.id/jalur-doktoral-reguler/"/>
    <d v="2026-08-15T16:59:16"/>
  </r>
  <r>
    <s v="https://pmb.widyatama.ac.id/jalur-seleksi-reguler/"/>
    <s v="text/html; charset=UTF-8"/>
    <x v="0"/>
    <m/>
    <x v="0"/>
    <m/>
    <s v="Jalur Seleksi Reguler - PMB UTama"/>
    <n v="33"/>
    <n v="312"/>
    <m/>
    <n v="0"/>
    <n v="0"/>
    <m/>
    <n v="0"/>
    <s v="Jalur Seleksi Reguler"/>
    <n v="21"/>
    <s v="Jalur Seleksi Reguler Universitas Widyatama"/>
    <n v="43"/>
    <s v="Jalur utama dengan pilihan metode seleksi yang fleksibel."/>
    <n v="57"/>
    <s v="Jalur Reguler Cocok untuk Calon Mahasiswa yang Ingin Proses Seleksi Lebih Fleksibel"/>
    <n v="83"/>
    <s v="index, follow, max-image-preview:large, max-snippet:-1, max-video-preview:-1"/>
    <m/>
    <m/>
    <s v="https://pmb.widyatama.ac.id/jalur-seleksi-reguler/"/>
    <m/>
    <m/>
    <m/>
    <m/>
    <m/>
    <n v="174443"/>
    <n v="37348"/>
    <n v="2559348"/>
    <n v="907302"/>
    <s v="F"/>
    <n v="746"/>
    <n v="155"/>
    <n v="4813"/>
    <n v="16193"/>
    <s v="Very Hard"/>
    <n v="2901"/>
    <n v="2"/>
    <n v="1"/>
    <m/>
    <n v="13"/>
    <n v="8"/>
    <n v="1"/>
    <n v="9200"/>
    <n v="129"/>
    <n v="35"/>
    <n v="0"/>
    <n v="16"/>
    <n v="9"/>
    <n v="3"/>
    <m/>
    <m/>
    <m/>
    <m/>
    <s v="c8221f55253f18672aeca85225f26ded"/>
    <s v="0.153"/>
    <s v="Saturday, 15-Aug-2026 09:59:17 GMT"/>
    <m/>
    <m/>
    <m/>
    <s v="en-US"/>
    <s v="2.0"/>
    <m/>
    <s v="https://pmb.widyatama.ac.id/jalur-seleksi-reguler/"/>
    <d v="2026-08-15T16:59:16"/>
  </r>
  <r>
    <s v="https://pmb.widyatama.ac.id/jalur-seleksi-khusus/"/>
    <s v="text/html; charset=UTF-8"/>
    <x v="0"/>
    <m/>
    <x v="0"/>
    <m/>
    <s v="Jalur Seleksi Khusus - PMB UTama"/>
    <n v="32"/>
    <n v="313"/>
    <m/>
    <n v="0"/>
    <n v="0"/>
    <m/>
    <n v="0"/>
    <s v="Jalur Seleksi Beasiswa Khusus Diploma &amp; Sarjana"/>
    <n v="47"/>
    <m/>
    <n v="0"/>
    <s v="Temukan kategori beasiswa yang paling sesuai dengan latar belakang atau prestasi Anda."/>
    <n v="86"/>
    <s v="Jalur Khusus Cocok untuk Calon Mahasiswa dengan Kriteria atau Latar Belakang Tertentu"/>
    <n v="85"/>
    <s v="index, follow, max-image-preview:large, max-snippet:-1, max-video-preview:-1"/>
    <m/>
    <m/>
    <s v="https://pmb.widyatama.ac.id/jalur-seleksi-khusus/"/>
    <m/>
    <m/>
    <m/>
    <m/>
    <m/>
    <n v="183632"/>
    <n v="39111"/>
    <n v="3027622"/>
    <n v="1073307"/>
    <s v="F"/>
    <n v="1171"/>
    <n v="220"/>
    <n v="5323"/>
    <n v="4996"/>
    <s v="Very Hard"/>
    <n v="3966"/>
    <n v="2"/>
    <n v="1"/>
    <m/>
    <n v="13"/>
    <n v="8"/>
    <n v="1"/>
    <n v="9200"/>
    <n v="129"/>
    <n v="35"/>
    <n v="0"/>
    <n v="16"/>
    <n v="8"/>
    <n v="3"/>
    <m/>
    <m/>
    <m/>
    <m/>
    <s v="a68ac334863a6abb09583bad6224ca3b"/>
    <s v="0.133"/>
    <s v="Saturday, 15-Aug-2026 09:59:35 GMT"/>
    <m/>
    <m/>
    <m/>
    <s v="en-US"/>
    <s v="None"/>
    <m/>
    <s v="https://pmb.widyatama.ac.id/jalur-seleksi-khusus/"/>
    <d v="2026-08-15T16:59:34"/>
  </r>
  <r>
    <s v="https://pmb.widyatama.ac.id/program-studi/digital-library-information-science-s1/"/>
    <s v="text/html; charset=UTF-8"/>
    <x v="1"/>
    <m/>
    <x v="1"/>
    <s v="Client Error"/>
    <m/>
    <n v="0"/>
    <n v="0"/>
    <m/>
    <n v="0"/>
    <n v="0"/>
    <m/>
    <n v="0"/>
    <m/>
    <n v="0"/>
    <m/>
    <n v="0"/>
    <m/>
    <n v="0"/>
    <m/>
    <n v="0"/>
    <m/>
    <m/>
    <m/>
    <m/>
    <m/>
    <m/>
    <m/>
    <m/>
    <m/>
    <n v="120689"/>
    <n v="28494"/>
    <n v="881373"/>
    <n v="312451"/>
    <s v="B"/>
    <n v="0"/>
    <m/>
    <m/>
    <m/>
    <m/>
    <s v="0.000"/>
    <n v="2"/>
    <n v="2"/>
    <m/>
    <n v="2"/>
    <n v="1"/>
    <n v="0"/>
    <n v="1150"/>
    <n v="0"/>
    <n v="0"/>
    <n v="0"/>
    <n v="0"/>
    <n v="0"/>
    <n v="0"/>
    <m/>
    <m/>
    <m/>
    <m/>
    <m/>
    <n v="2582"/>
    <m/>
    <m/>
    <m/>
    <m/>
    <m/>
    <s v="2.0"/>
    <m/>
    <s v="https://pmb.widyatama.ac.id/program-studi/digital-library-information-science-s1/"/>
    <d v="2026-08-15T16:59:42"/>
  </r>
  <r>
    <s v="https://pmb.widyatama.ac.id/program-studi/desain-grafis-d4/"/>
    <s v="text/html; charset=UTF-8"/>
    <x v="1"/>
    <m/>
    <x v="1"/>
    <s v="Client Error"/>
    <m/>
    <n v="0"/>
    <n v="0"/>
    <m/>
    <n v="0"/>
    <n v="0"/>
    <m/>
    <n v="0"/>
    <m/>
    <n v="0"/>
    <m/>
    <n v="0"/>
    <m/>
    <n v="0"/>
    <m/>
    <n v="0"/>
    <m/>
    <m/>
    <m/>
    <m/>
    <m/>
    <m/>
    <m/>
    <m/>
    <m/>
    <n v="120645"/>
    <n v="28695"/>
    <n v="898424"/>
    <n v="318496"/>
    <s v="B"/>
    <n v="0"/>
    <m/>
    <m/>
    <m/>
    <m/>
    <s v="0.000"/>
    <n v="2"/>
    <n v="2"/>
    <m/>
    <n v="2"/>
    <n v="1"/>
    <n v="0"/>
    <n v="1150"/>
    <n v="0"/>
    <n v="0"/>
    <n v="0"/>
    <n v="0"/>
    <n v="0"/>
    <n v="0"/>
    <m/>
    <m/>
    <m/>
    <m/>
    <m/>
    <n v="2950"/>
    <m/>
    <m/>
    <m/>
    <m/>
    <m/>
    <s v="None"/>
    <m/>
    <s v="https://pmb.widyatama.ac.id/program-studi/desain-grafis-d4/"/>
    <d v="2026-08-15T16:59:42"/>
  </r>
  <r>
    <s v="https://pmb.widyatama.ac.id/biaya-kuliah-kelas-reguler-2/"/>
    <s v="text/html; charset=UTF-8"/>
    <x v="1"/>
    <m/>
    <x v="1"/>
    <s v="Client Error"/>
    <m/>
    <n v="0"/>
    <n v="0"/>
    <m/>
    <n v="0"/>
    <n v="0"/>
    <m/>
    <n v="0"/>
    <m/>
    <n v="0"/>
    <m/>
    <n v="0"/>
    <m/>
    <n v="0"/>
    <m/>
    <n v="0"/>
    <m/>
    <m/>
    <m/>
    <m/>
    <m/>
    <m/>
    <m/>
    <m/>
    <m/>
    <n v="120640"/>
    <n v="28693"/>
    <n v="898387"/>
    <n v="318483"/>
    <s v="B"/>
    <n v="0"/>
    <m/>
    <m/>
    <m/>
    <m/>
    <s v="0.000"/>
    <n v="2"/>
    <n v="1"/>
    <m/>
    <n v="6"/>
    <n v="2"/>
    <n v="1"/>
    <n v="2300"/>
    <n v="0"/>
    <n v="0"/>
    <n v="0"/>
    <n v="0"/>
    <n v="0"/>
    <n v="0"/>
    <m/>
    <m/>
    <m/>
    <m/>
    <m/>
    <n v="2858"/>
    <m/>
    <m/>
    <m/>
    <m/>
    <m/>
    <s v="None"/>
    <m/>
    <s v="https://pmb.widyatama.ac.id/biaya-kuliah-kelas-reguler-2/"/>
    <d v="2026-08-15T16:59:45"/>
  </r>
  <r>
    <s v="https://pmb.widyatama.ac.id/jalur-seleksi-prioritas/"/>
    <s v="text/html; charset=UTF-8"/>
    <x v="0"/>
    <m/>
    <x v="0"/>
    <m/>
    <s v="Jalur Seleksi Prioritas - PMB UTama"/>
    <n v="35"/>
    <n v="320"/>
    <m/>
    <n v="0"/>
    <n v="0"/>
    <m/>
    <n v="0"/>
    <s v="Jalur Seleksi Beasiswa Prioritas Diploma &amp; Sarjana"/>
    <n v="50"/>
    <m/>
    <n v="0"/>
    <s v="Jalur strategis untuk siswa unggul yang ingin mengamankan kursi lebih dini."/>
    <n v="75"/>
    <s v="Jalur Prioritas Cocok untuk Calon Mahasiswa Unggul yang Ingin Kepastian Lebih Awal"/>
    <n v="82"/>
    <s v="index, follow, max-image-preview:large, max-snippet:-1, max-video-preview:-1"/>
    <m/>
    <m/>
    <s v="https://pmb.widyatama.ac.id/jalur-seleksi-prioritas/"/>
    <m/>
    <m/>
    <m/>
    <m/>
    <m/>
    <n v="176659"/>
    <n v="37812"/>
    <n v="2187451"/>
    <n v="775462"/>
    <s v="E"/>
    <n v="828"/>
    <n v="168"/>
    <n v="4929"/>
    <n v="14241"/>
    <s v="Very Hard"/>
    <n v="3102"/>
    <n v="2"/>
    <n v="1"/>
    <m/>
    <n v="13"/>
    <n v="8"/>
    <n v="1"/>
    <n v="9200"/>
    <n v="127"/>
    <n v="35"/>
    <n v="0"/>
    <n v="16"/>
    <n v="8"/>
    <n v="3"/>
    <m/>
    <m/>
    <m/>
    <m/>
    <s v="5af8da9339be00b734e11f8923f5fb4"/>
    <n v="2343"/>
    <s v="Saturday, 15-Aug-2026 09:59:41 GMT"/>
    <m/>
    <m/>
    <m/>
    <s v="en-US"/>
    <s v="2.0"/>
    <m/>
    <s v="https://pmb.widyatama.ac.id/jalur-seleksi-prioritas/"/>
    <d v="2026-08-15T16:59:38"/>
  </r>
  <r>
    <s v="https://online.pmb.widyatama.ac.id/language-switch/en"/>
    <s v="text/html; charset=UTF-8"/>
    <x v="2"/>
    <s v="Found"/>
    <x v="1"/>
    <s v="Redirected"/>
    <m/>
    <n v="0"/>
    <n v="0"/>
    <m/>
    <n v="0"/>
    <n v="0"/>
    <m/>
    <n v="0"/>
    <m/>
    <n v="0"/>
    <m/>
    <n v="0"/>
    <m/>
    <n v="0"/>
    <m/>
    <n v="0"/>
    <m/>
    <m/>
    <m/>
    <m/>
    <m/>
    <m/>
    <m/>
    <m/>
    <m/>
    <n v="0"/>
    <n v="0"/>
    <n v="0"/>
    <s v="0.000"/>
    <s v="A+"/>
    <n v="0"/>
    <m/>
    <m/>
    <m/>
    <m/>
    <s v="0.000"/>
    <n v="2"/>
    <n v="1"/>
    <m/>
    <n v="10"/>
    <n v="10"/>
    <n v="0"/>
    <n v="11490"/>
    <n v="0"/>
    <n v="0"/>
    <n v="0"/>
    <n v="0"/>
    <n v="0"/>
    <n v="0"/>
    <m/>
    <m/>
    <m/>
    <m/>
    <m/>
    <s v="0.609"/>
    <m/>
    <s v="https://online.pmb.widyatama.ac.id/"/>
    <s v="HTTP Redirect"/>
    <m/>
    <m/>
    <m/>
    <m/>
    <s v="https://online.pmb.widyatama.ac.id/language-switch/en"/>
    <d v="2026-08-15T16:59:56"/>
  </r>
  <r>
    <s v="https://online.pmb.widyatama.ac.id/register/fst"/>
    <s v="text/html; charset=UTF-8"/>
    <x v="0"/>
    <m/>
    <x v="0"/>
    <m/>
    <s v="PMB | Universitas Widyatama"/>
    <n v="27"/>
    <n v="262"/>
    <m/>
    <n v="0"/>
    <n v="0"/>
    <m/>
    <n v="0"/>
    <s v="Form Register PMB Fast Track"/>
    <n v="28"/>
    <m/>
    <n v="0"/>
    <m/>
    <n v="0"/>
    <m/>
    <n v="0"/>
    <m/>
    <m/>
    <m/>
    <m/>
    <m/>
    <m/>
    <m/>
    <m/>
    <m/>
    <n v="253823"/>
    <n v="22282"/>
    <n v="1029809"/>
    <n v="365072"/>
    <s v="C"/>
    <n v="2221"/>
    <n v="564"/>
    <n v="3938"/>
    <n v="100000"/>
    <s v="Very Easy"/>
    <n v="6581"/>
    <n v="2"/>
    <n v="1"/>
    <m/>
    <n v="2"/>
    <n v="2"/>
    <n v="0"/>
    <n v="2300"/>
    <n v="7"/>
    <n v="6"/>
    <n v="0"/>
    <n v="2"/>
    <n v="2"/>
    <n v="0"/>
    <m/>
    <m/>
    <m/>
    <m/>
    <s v="826f104343ca1c1b199b42dfa794895"/>
    <s v="0.388"/>
    <m/>
    <m/>
    <m/>
    <m/>
    <s v="en"/>
    <s v="2.0"/>
    <m/>
    <s v="https://online.pmb.widyatama.ac.id/register/fst"/>
    <d v="2026-08-15T16:59:53"/>
  </r>
  <r>
    <s v="https://online.pmb.widyatama.ac.id/register/kk"/>
    <s v="text/html; charset=UTF-8"/>
    <x v="0"/>
    <m/>
    <x v="0"/>
    <m/>
    <s v="PMB | Universitas Widyatama"/>
    <n v="27"/>
    <n v="262"/>
    <m/>
    <n v="0"/>
    <n v="0"/>
    <m/>
    <n v="0"/>
    <s v="Form Register PMB Kelas Sore"/>
    <n v="28"/>
    <m/>
    <n v="0"/>
    <m/>
    <n v="0"/>
    <m/>
    <n v="0"/>
    <m/>
    <m/>
    <m/>
    <m/>
    <m/>
    <m/>
    <m/>
    <m/>
    <m/>
    <n v="259579"/>
    <n v="22627"/>
    <n v="1028163"/>
    <n v="364489"/>
    <s v="C"/>
    <n v="2220"/>
    <n v="563"/>
    <n v="3943"/>
    <n v="100000"/>
    <s v="Very Easy"/>
    <n v="6199"/>
    <n v="2"/>
    <n v="1"/>
    <m/>
    <n v="2"/>
    <n v="2"/>
    <n v="0"/>
    <n v="2300"/>
    <n v="7"/>
    <n v="6"/>
    <n v="0"/>
    <n v="2"/>
    <n v="2"/>
    <n v="0"/>
    <m/>
    <m/>
    <m/>
    <m/>
    <s v="9b236e2868913c710fb0b14916adbf45"/>
    <s v="0.793"/>
    <m/>
    <m/>
    <m/>
    <m/>
    <s v="en"/>
    <s v="2.0"/>
    <m/>
    <s v="https://online.pmb.widyatama.ac.id/register/kk"/>
    <d v="2026-08-15T16:59:56"/>
  </r>
  <r>
    <s v="https://online.pmb.widyatama.ac.id/language-switch/id"/>
    <s v="text/html; charset=UTF-8"/>
    <x v="2"/>
    <s v="Found"/>
    <x v="1"/>
    <s v="Redirected"/>
    <m/>
    <n v="0"/>
    <n v="0"/>
    <m/>
    <n v="0"/>
    <n v="0"/>
    <m/>
    <n v="0"/>
    <m/>
    <n v="0"/>
    <m/>
    <n v="0"/>
    <m/>
    <n v="0"/>
    <m/>
    <n v="0"/>
    <m/>
    <m/>
    <m/>
    <m/>
    <m/>
    <m/>
    <m/>
    <m/>
    <m/>
    <n v="0"/>
    <n v="0"/>
    <n v="0"/>
    <s v="0.000"/>
    <s v="A+"/>
    <n v="0"/>
    <m/>
    <m/>
    <m/>
    <m/>
    <s v="0.000"/>
    <n v="2"/>
    <n v="1"/>
    <m/>
    <n v="10"/>
    <n v="10"/>
    <n v="0"/>
    <n v="11490"/>
    <n v="0"/>
    <n v="0"/>
    <n v="0"/>
    <n v="0"/>
    <n v="0"/>
    <n v="0"/>
    <m/>
    <m/>
    <m/>
    <m/>
    <m/>
    <s v="0.132"/>
    <m/>
    <s v="https://online.pmb.widyatama.ac.id/"/>
    <s v="HTTP Redirect"/>
    <m/>
    <m/>
    <m/>
    <m/>
    <s v="https://online.pmb.widyatama.ac.id/language-switch/id"/>
    <d v="2026-08-15T17:00:10"/>
  </r>
  <r>
    <s v="https://online.pmb.widyatama.ac.id/register/s3"/>
    <s v="text/html; charset=UTF-8"/>
    <x v="0"/>
    <m/>
    <x v="0"/>
    <m/>
    <s v="PMB | Universitas Widyatama"/>
    <n v="27"/>
    <n v="262"/>
    <m/>
    <n v="0"/>
    <n v="0"/>
    <m/>
    <n v="0"/>
    <s v="Form Register PMB Doktor"/>
    <n v="24"/>
    <m/>
    <n v="0"/>
    <m/>
    <n v="0"/>
    <m/>
    <n v="0"/>
    <m/>
    <m/>
    <m/>
    <m/>
    <m/>
    <m/>
    <m/>
    <m/>
    <m/>
    <n v="252198"/>
    <n v="22094"/>
    <n v="1029617"/>
    <n v="365004"/>
    <s v="C"/>
    <n v="2211"/>
    <n v="561"/>
    <n v="3941"/>
    <n v="100000"/>
    <s v="Very Easy"/>
    <n v="6582"/>
    <n v="2"/>
    <n v="1"/>
    <m/>
    <n v="2"/>
    <n v="2"/>
    <n v="0"/>
    <n v="2300"/>
    <n v="7"/>
    <n v="6"/>
    <n v="0"/>
    <n v="2"/>
    <n v="2"/>
    <n v="0"/>
    <m/>
    <m/>
    <m/>
    <m/>
    <s v="48c36cfe6956a8bdb30e341c7f028870"/>
    <n v="2093"/>
    <m/>
    <m/>
    <m/>
    <m/>
    <s v="en"/>
    <s v="2.0"/>
    <m/>
    <s v="https://online.pmb.widyatama.ac.id/register/s3"/>
    <d v="2026-08-15T16:59:56"/>
  </r>
  <r>
    <s v="https://pmb.widyatama.ac.id/aktivitas-civitas/3/"/>
    <s v="text/html; charset=UTF-8"/>
    <x v="0"/>
    <m/>
    <x v="1"/>
    <s v="Canonicalised"/>
    <s v="Aktivitas Civitas - PMB UTama"/>
    <n v="29"/>
    <n v="270"/>
    <m/>
    <n v="0"/>
    <n v="0"/>
    <m/>
    <n v="0"/>
    <s v="The Rapid Advancement of Digital Technology"/>
    <n v="43"/>
    <m/>
    <n v="0"/>
    <s v="Berbagai Aktivitas Sivitas di Universitas Widyatama"/>
    <n v="51"/>
    <s v="Fasilitas"/>
    <n v="9"/>
    <s v="index, follow, max-image-preview:large, max-snippet:-1, max-video-preview:-1"/>
    <m/>
    <m/>
    <s v="https://pmb.widyatama.ac.id/aktivitas-civitas/"/>
    <m/>
    <m/>
    <m/>
    <m/>
    <m/>
    <n v="140204"/>
    <n v="32403"/>
    <n v="2411451"/>
    <n v="854871"/>
    <s v="F"/>
    <n v="89"/>
    <n v="29"/>
    <n v="3069"/>
    <s v="0.000"/>
    <s v="Very Hard"/>
    <n v="1222"/>
    <n v="2"/>
    <n v="2"/>
    <m/>
    <n v="7"/>
    <n v="3"/>
    <n v="1"/>
    <n v="3450"/>
    <n v="116"/>
    <n v="32"/>
    <n v="0"/>
    <n v="8"/>
    <n v="7"/>
    <n v="2"/>
    <m/>
    <m/>
    <m/>
    <m/>
    <s v="6dbfb716d9f2bfbb7bea23dcc3eb9870"/>
    <n v="3490"/>
    <s v="Saturday, 15-Aug-2026 09:59:56 GMT"/>
    <m/>
    <m/>
    <m/>
    <s v="en-US"/>
    <s v="None"/>
    <m/>
    <s v="https://pmb.widyatama.ac.id/aktivitas-civitas/3/"/>
    <d v="2026-08-15T16:59:53"/>
  </r>
  <r>
    <s v="https://pmb.widyatama.ac.id/aktivitas-civitas/2/"/>
    <s v="text/html; charset=UTF-8"/>
    <x v="0"/>
    <m/>
    <x v="1"/>
    <s v="Canonicalised"/>
    <s v="Aktivitas Civitas - PMB UTama"/>
    <n v="29"/>
    <n v="270"/>
    <m/>
    <n v="0"/>
    <n v="0"/>
    <m/>
    <n v="0"/>
    <s v="Democracy in Indonesia: Why It Feels Weak at the Grassroots"/>
    <n v="59"/>
    <s v="The Hidden Dangers of Sugar"/>
    <n v="27"/>
    <s v="Berbagai Aktivitas Sivitas di Universitas Widyatama"/>
    <n v="51"/>
    <s v="Fasilitas"/>
    <n v="9"/>
    <s v="index, follow, max-image-preview:large, max-snippet:-1, max-video-preview:-1"/>
    <m/>
    <m/>
    <s v="https://pmb.widyatama.ac.id/aktivitas-civitas/"/>
    <m/>
    <m/>
    <m/>
    <m/>
    <m/>
    <n v="152467"/>
    <n v="32759"/>
    <n v="2964910"/>
    <n v="1051075"/>
    <s v="F"/>
    <n v="161"/>
    <n v="45"/>
    <n v="3578"/>
    <n v="32427"/>
    <s v="Hard"/>
    <n v="1346"/>
    <n v="2"/>
    <n v="2"/>
    <m/>
    <n v="7"/>
    <n v="3"/>
    <n v="1"/>
    <n v="3450"/>
    <n v="122"/>
    <n v="36"/>
    <n v="0"/>
    <n v="8"/>
    <n v="7"/>
    <n v="2"/>
    <m/>
    <m/>
    <m/>
    <m/>
    <s v="36cbf18c6f4d38ef216bbfb1c8e44663"/>
    <n v="3500"/>
    <s v="Saturday, 15-Aug-2026 09:59:56 GMT"/>
    <m/>
    <m/>
    <m/>
    <s v="en-US"/>
    <s v="None"/>
    <m/>
    <s v="https://pmb.widyatama.ac.id/aktivitas-civitas/2/"/>
    <d v="2026-08-15T16:59:52"/>
  </r>
  <r>
    <s v="https://online.pmb.widyatama.ac.id/auth/login"/>
    <s v="text/html; charset=UTF-8"/>
    <x v="0"/>
    <m/>
    <x v="0"/>
    <m/>
    <s v="PMB | Universitas Widyatama"/>
    <n v="27"/>
    <n v="262"/>
    <m/>
    <n v="0"/>
    <n v="0"/>
    <m/>
    <n v="0"/>
    <s v="Pengisian Formulir PMB"/>
    <n v="22"/>
    <s v="Silahkan login"/>
    <n v="14"/>
    <m/>
    <n v="0"/>
    <m/>
    <n v="0"/>
    <m/>
    <m/>
    <m/>
    <m/>
    <m/>
    <m/>
    <m/>
    <m/>
    <m/>
    <n v="17734"/>
    <n v="5595"/>
    <n v="955599"/>
    <n v="338765"/>
    <s v="B"/>
    <n v="30"/>
    <n v="13"/>
    <n v="2308"/>
    <n v="63493"/>
    <s v="Normal"/>
    <n v="2452"/>
    <n v="2"/>
    <n v="1"/>
    <m/>
    <n v="11"/>
    <n v="10"/>
    <n v="0"/>
    <n v="11490"/>
    <n v="8"/>
    <n v="6"/>
    <n v="0"/>
    <n v="2"/>
    <n v="2"/>
    <n v="0"/>
    <m/>
    <m/>
    <m/>
    <m/>
    <s v="ed4d0258aae1b4b49d8eaf73f890be46"/>
    <s v="0.124"/>
    <m/>
    <m/>
    <m/>
    <m/>
    <s v="en"/>
    <s v="None"/>
    <m/>
    <s v="https://online.pmb.widyatama.ac.id/auth/login"/>
    <d v="2026-08-15T17:00:10"/>
  </r>
  <r>
    <s v="https://pmb.widyatama.ac.id/blog/page/2/"/>
    <s v="text/html; charset=UTF-8"/>
    <x v="1"/>
    <m/>
    <x v="1"/>
    <s v="Client Error"/>
    <m/>
    <n v="0"/>
    <n v="0"/>
    <m/>
    <n v="0"/>
    <n v="0"/>
    <m/>
    <n v="0"/>
    <m/>
    <n v="0"/>
    <m/>
    <n v="0"/>
    <m/>
    <n v="0"/>
    <m/>
    <n v="0"/>
    <m/>
    <m/>
    <m/>
    <m/>
    <m/>
    <m/>
    <m/>
    <m/>
    <m/>
    <n v="122131"/>
    <n v="28152"/>
    <n v="894851"/>
    <n v="317229"/>
    <s v="B"/>
    <n v="0"/>
    <m/>
    <m/>
    <m/>
    <m/>
    <s v="0.000"/>
    <n v="2"/>
    <n v="3"/>
    <m/>
    <n v="1"/>
    <n v="1"/>
    <n v="0"/>
    <n v="1150"/>
    <n v="0"/>
    <n v="0"/>
    <n v="0"/>
    <n v="0"/>
    <n v="0"/>
    <n v="0"/>
    <m/>
    <m/>
    <m/>
    <m/>
    <m/>
    <n v="2950"/>
    <m/>
    <m/>
    <m/>
    <m/>
    <m/>
    <s v="2.0"/>
    <m/>
    <s v="https://pmb.widyatama.ac.id/blog/page/2/"/>
    <d v="2026-08-15T17:00:10"/>
  </r>
  <r>
    <s v="https://pmb.widyatama.ac.id/democracy-in-indonesia-why-it-feels-weak-at-the-grassroots/"/>
    <s v="text/html; charset=UTF-8"/>
    <x v="0"/>
    <m/>
    <x v="0"/>
    <m/>
    <s v="Democracy in Indonesia: Why It Feels Weak at the Grassroots - PMB UTama"/>
    <n v="71"/>
    <n v="670"/>
    <m/>
    <n v="0"/>
    <n v="0"/>
    <m/>
    <n v="0"/>
    <m/>
    <n v="0"/>
    <m/>
    <n v="0"/>
    <s v="Jenjang Pendidikan"/>
    <n v="18"/>
    <s v="Blog Details"/>
    <n v="12"/>
    <s v="index, follow, max-image-preview:large, max-snippet:-1, max-video-preview:-1"/>
    <m/>
    <m/>
    <s v="https://pmb.widyatama.ac.id/democracy-in-indonesia-why-it-feels-weak-at-the-grassroots/"/>
    <m/>
    <m/>
    <m/>
    <m/>
    <m/>
    <n v="144609"/>
    <n v="33755"/>
    <n v="6076955"/>
    <n v="2154311"/>
    <s v="F"/>
    <n v="414"/>
    <n v="71"/>
    <n v="5831"/>
    <n v="27221"/>
    <s v="Very Hard"/>
    <n v="2201"/>
    <n v="2"/>
    <n v="1"/>
    <m/>
    <n v="15"/>
    <n v="5"/>
    <n v="1"/>
    <n v="5750"/>
    <n v="111"/>
    <n v="31"/>
    <n v="0"/>
    <n v="8"/>
    <n v="7"/>
    <n v="2"/>
    <m/>
    <m/>
    <m/>
    <m/>
    <s v="fb15a308345710681d75211d4bf4f97e"/>
    <s v="0.211"/>
    <s v="Saturday, 15-Aug-2026 10:00:11 GMT"/>
    <m/>
    <m/>
    <m/>
    <s v="en-US"/>
    <s v="2.0"/>
    <m/>
    <s v="https://pmb.widyatama.ac.id/democracy-in-indonesia-why-it-feels-weak-at-the-grassroots/"/>
    <d v="2026-08-15T17:00:10"/>
  </r>
  <r>
    <s v="https://pmb.widyatama.ac.id/2025/09/19/"/>
    <s v="text/html; charset=UTF-8"/>
    <x v="0"/>
    <m/>
    <x v="1"/>
    <s v="noindex"/>
    <s v="September 19, 2025 - PMB UTama"/>
    <n v="30"/>
    <n v="305"/>
    <m/>
    <n v="0"/>
    <n v="0"/>
    <m/>
    <n v="0"/>
    <s v="The Rapid Advancement of Digital Technology"/>
    <n v="43"/>
    <s v="Democracy in Indonesia: Why It Feels Weak at the Grassroots"/>
    <n v="59"/>
    <s v="Search"/>
    <n v="6"/>
    <s v="Categories"/>
    <n v="10"/>
    <s v="noindex, follow"/>
    <m/>
    <m/>
    <m/>
    <m/>
    <m/>
    <m/>
    <m/>
    <m/>
    <n v="170686"/>
    <n v="33830"/>
    <n v="3226741"/>
    <n v="1143896"/>
    <s v="F"/>
    <n v="280"/>
    <n v="72"/>
    <n v="3889"/>
    <n v="68434"/>
    <s v="Normal"/>
    <n v="1503"/>
    <n v="2"/>
    <n v="3"/>
    <m/>
    <n v="53"/>
    <n v="14"/>
    <n v="1"/>
    <n v="16090"/>
    <n v="140"/>
    <n v="36"/>
    <n v="0"/>
    <n v="8"/>
    <n v="7"/>
    <n v="2"/>
    <m/>
    <m/>
    <m/>
    <m/>
    <s v="2d56936a353f7aec2e92b6a5b66da2b4"/>
    <n v="4364"/>
    <s v="Saturday, 15-Aug-2026 10:00:19 GMT"/>
    <m/>
    <m/>
    <m/>
    <s v="en-US"/>
    <s v="None"/>
    <m/>
    <s v="https://pmb.widyatama.ac.id/2025/09/19/"/>
    <d v="2026-08-15T17:00:15"/>
  </r>
  <r>
    <s v="https://pmb.widyatama.ac.id/democracy-in-indonesia-why-it-feels-weak-at-the-grassroots-4/"/>
    <s v="text/html; charset=UTF-8"/>
    <x v="0"/>
    <m/>
    <x v="0"/>
    <m/>
    <s v="Democracy in Indonesia: Why It Feels Weak at the Grassroots - PMB UTama"/>
    <n v="71"/>
    <n v="670"/>
    <m/>
    <n v="0"/>
    <n v="0"/>
    <m/>
    <n v="0"/>
    <m/>
    <n v="0"/>
    <m/>
    <n v="0"/>
    <s v="Jenjang Pendidikan"/>
    <n v="18"/>
    <s v="Blog Details"/>
    <n v="12"/>
    <s v="index, follow, max-image-preview:large, max-snippet:-1, max-video-preview:-1"/>
    <m/>
    <m/>
    <s v="https://pmb.widyatama.ac.id/democracy-in-indonesia-why-it-feels-weak-at-the-grassroots-4/"/>
    <m/>
    <m/>
    <m/>
    <m/>
    <m/>
    <n v="144487"/>
    <n v="33871"/>
    <n v="6076405"/>
    <n v="2154116"/>
    <s v="F"/>
    <n v="414"/>
    <n v="71"/>
    <n v="5831"/>
    <n v="27221"/>
    <s v="Very Hard"/>
    <n v="2203"/>
    <n v="2"/>
    <n v="1"/>
    <m/>
    <n v="21"/>
    <n v="8"/>
    <n v="1"/>
    <n v="9200"/>
    <n v="111"/>
    <n v="31"/>
    <n v="0"/>
    <n v="8"/>
    <n v="7"/>
    <n v="2"/>
    <m/>
    <m/>
    <m/>
    <m/>
    <s v="7d9d9da8e4a205ec375b478e0e12c50e"/>
    <n v="4825"/>
    <s v="Saturday, 15-Aug-2026 10:00:26 GMT"/>
    <m/>
    <m/>
    <m/>
    <s v="en-US"/>
    <s v="2.0"/>
    <m/>
    <s v="https://pmb.widyatama.ac.id/democracy-in-indonesia-why-it-feels-weak-at-the-grassroots-4/"/>
    <d v="2026-08-15T17:00:22"/>
  </r>
  <r>
    <s v="https://pmb.widyatama.ac.id/the-hidden-dangers-of-sugar-3/"/>
    <s v="text/html; charset=UTF-8"/>
    <x v="0"/>
    <m/>
    <x v="0"/>
    <m/>
    <s v="The Hidden Dangers of Sugar - PMB UTama"/>
    <n v="39"/>
    <n v="388"/>
    <m/>
    <n v="0"/>
    <n v="0"/>
    <m/>
    <n v="0"/>
    <m/>
    <n v="0"/>
    <m/>
    <n v="0"/>
    <s v="Jenjang Pendidikan"/>
    <n v="18"/>
    <s v="Blog Details"/>
    <n v="12"/>
    <s v="index, follow, max-image-preview:large, max-snippet:-1, max-video-preview:-1"/>
    <m/>
    <m/>
    <s v="https://pmb.widyatama.ac.id/the-hidden-dangers-of-sugar-3/"/>
    <m/>
    <m/>
    <m/>
    <m/>
    <m/>
    <n v="143549"/>
    <n v="33152"/>
    <n v="6276663"/>
    <n v="2225108"/>
    <s v="F"/>
    <n v="406"/>
    <n v="71"/>
    <n v="5718"/>
    <n v="47459"/>
    <s v="Hard"/>
    <n v="2090"/>
    <n v="2"/>
    <n v="1"/>
    <m/>
    <n v="21"/>
    <n v="8"/>
    <n v="1"/>
    <n v="9200"/>
    <n v="111"/>
    <n v="31"/>
    <n v="0"/>
    <n v="8"/>
    <n v="7"/>
    <n v="2"/>
    <m/>
    <m/>
    <m/>
    <m/>
    <s v="5c76467da62fd46561f334cf6cb79653"/>
    <s v="0.474"/>
    <s v="Saturday, 15-Aug-2026 10:00:14 GMT"/>
    <m/>
    <m/>
    <m/>
    <s v="en-US"/>
    <s v="2.0"/>
    <m/>
    <s v="https://pmb.widyatama.ac.id/the-hidden-dangers-of-sugar-3/"/>
    <d v="2026-08-15T17:00:13"/>
  </r>
  <r>
    <s v="https://pmb.widyatama.ac.id/democracy-in-indonesia-why-it-feels-weak-at-the-grassroots-2/"/>
    <s v="text/html; charset=UTF-8"/>
    <x v="0"/>
    <m/>
    <x v="0"/>
    <m/>
    <s v="Democracy in Indonesia: Why It Feels Weak at the Grassroots - PMB UTama"/>
    <n v="71"/>
    <n v="670"/>
    <m/>
    <n v="0"/>
    <n v="0"/>
    <m/>
    <n v="0"/>
    <m/>
    <n v="0"/>
    <m/>
    <n v="0"/>
    <s v="Jenjang Pendidikan"/>
    <n v="18"/>
    <s v="Blog Details"/>
    <n v="12"/>
    <s v="index, follow, max-image-preview:large, max-snippet:-1, max-video-preview:-1"/>
    <m/>
    <m/>
    <s v="https://pmb.widyatama.ac.id/democracy-in-indonesia-why-it-feels-weak-at-the-grassroots-2/"/>
    <m/>
    <m/>
    <m/>
    <m/>
    <m/>
    <n v="144487"/>
    <n v="33911"/>
    <n v="6076486"/>
    <n v="2154145"/>
    <s v="F"/>
    <n v="414"/>
    <n v="71"/>
    <n v="5831"/>
    <n v="27221"/>
    <s v="Very Hard"/>
    <n v="2203"/>
    <n v="2"/>
    <n v="1"/>
    <m/>
    <n v="21"/>
    <n v="8"/>
    <n v="1"/>
    <n v="9200"/>
    <n v="111"/>
    <n v="31"/>
    <n v="0"/>
    <n v="8"/>
    <n v="7"/>
    <n v="2"/>
    <m/>
    <m/>
    <m/>
    <m/>
    <s v="73adb2362ca9d40aca9c7f3807aa2265"/>
    <n v="2779"/>
    <s v="Saturday, 15-Aug-2026 10:00:28 GMT"/>
    <m/>
    <m/>
    <m/>
    <s v="en-US"/>
    <s v="None"/>
    <m/>
    <s v="https://pmb.widyatama.ac.id/democracy-in-indonesia-why-it-feels-weak-at-the-grassroots-2/"/>
    <d v="2026-08-15T17:00:25"/>
  </r>
  <r>
    <s v="https://pmb.widyatama.ac.id/the-hidden-dangers-of-sugar-2/"/>
    <s v="text/html; charset=UTF-8"/>
    <x v="0"/>
    <m/>
    <x v="0"/>
    <m/>
    <s v="The Hidden Dangers of Sugar - PMB UTama"/>
    <n v="39"/>
    <n v="388"/>
    <m/>
    <n v="0"/>
    <n v="0"/>
    <m/>
    <n v="0"/>
    <m/>
    <n v="0"/>
    <m/>
    <n v="0"/>
    <s v="Jenjang Pendidikan"/>
    <n v="18"/>
    <s v="Blog Details"/>
    <n v="12"/>
    <s v="index, follow, max-image-preview:large, max-snippet:-1, max-video-preview:-1"/>
    <m/>
    <m/>
    <s v="https://pmb.widyatama.ac.id/the-hidden-dangers-of-sugar-2/"/>
    <m/>
    <m/>
    <m/>
    <m/>
    <m/>
    <n v="143549"/>
    <n v="33178"/>
    <n v="6276704"/>
    <n v="2225123"/>
    <s v="F"/>
    <n v="406"/>
    <n v="71"/>
    <n v="5718"/>
    <n v="47459"/>
    <s v="Hard"/>
    <n v="2090"/>
    <n v="2"/>
    <n v="1"/>
    <m/>
    <n v="21"/>
    <n v="8"/>
    <n v="1"/>
    <n v="9200"/>
    <n v="111"/>
    <n v="31"/>
    <n v="0"/>
    <n v="8"/>
    <n v="7"/>
    <n v="2"/>
    <m/>
    <m/>
    <m/>
    <m/>
    <s v="7254cbd5f63f3643118fec7d17abb386"/>
    <n v="1728"/>
    <s v="Saturday, 15-Aug-2026 10:00:44 GMT"/>
    <m/>
    <m/>
    <m/>
    <s v="en-US"/>
    <s v="2.0"/>
    <m/>
    <s v="https://pmb.widyatama.ac.id/the-hidden-dangers-of-sugar-2/"/>
    <d v="2026-08-15T17:00:43"/>
  </r>
  <r>
    <s v="https://pmb.widyatama.ac.id/the-hidden-dangers-of-sugar/"/>
    <s v="text/html; charset=UTF-8"/>
    <x v="0"/>
    <m/>
    <x v="0"/>
    <m/>
    <s v="The Hidden Dangers of Sugar - PMB UTama"/>
    <n v="39"/>
    <n v="388"/>
    <m/>
    <n v="0"/>
    <n v="0"/>
    <m/>
    <n v="0"/>
    <m/>
    <n v="0"/>
    <m/>
    <n v="0"/>
    <s v="Jenjang Pendidikan"/>
    <n v="18"/>
    <s v="Blog Details"/>
    <n v="12"/>
    <s v="index, follow, max-image-preview:large, max-snippet:-1, max-video-preview:-1"/>
    <m/>
    <m/>
    <s v="https://pmb.widyatama.ac.id/the-hidden-dangers-of-sugar/"/>
    <m/>
    <m/>
    <m/>
    <m/>
    <m/>
    <n v="143506"/>
    <n v="33713"/>
    <n v="6276394"/>
    <n v="2225013"/>
    <s v="F"/>
    <n v="406"/>
    <n v="71"/>
    <n v="5718"/>
    <n v="47459"/>
    <s v="Hard"/>
    <n v="2090"/>
    <n v="2"/>
    <n v="1"/>
    <m/>
    <n v="15"/>
    <n v="5"/>
    <n v="1"/>
    <n v="5750"/>
    <n v="111"/>
    <n v="31"/>
    <n v="0"/>
    <n v="8"/>
    <n v="7"/>
    <n v="2"/>
    <m/>
    <m/>
    <m/>
    <m/>
    <s v="8d28d54a96869d35d40897ef1a52f946"/>
    <n v="1583"/>
    <s v="Saturday, 15-Aug-2026 10:00:45 GMT"/>
    <m/>
    <m/>
    <m/>
    <s v="en-US"/>
    <s v="2.0"/>
    <m/>
    <s v="https://pmb.widyatama.ac.id/the-hidden-dangers-of-sugar/"/>
    <d v="2026-08-15T17:00:44"/>
  </r>
  <r>
    <s v="https://pmb.widyatama.ac.id/the-rapid-advancement-of-digital-technology/"/>
    <s v="text/html; charset=UTF-8"/>
    <x v="0"/>
    <m/>
    <x v="0"/>
    <m/>
    <s v="The Rapid Advancement of Digital Technology - PMB UTama"/>
    <n v="55"/>
    <n v="536"/>
    <m/>
    <n v="0"/>
    <n v="0"/>
    <m/>
    <n v="0"/>
    <m/>
    <n v="0"/>
    <m/>
    <n v="0"/>
    <s v="Jenjang Pendidikan"/>
    <n v="18"/>
    <s v="Blog Details"/>
    <n v="12"/>
    <s v="index, follow, max-image-preview:large, max-snippet:-1, max-video-preview:-1"/>
    <m/>
    <m/>
    <s v="https://pmb.widyatama.ac.id/the-rapid-advancement-of-digital-technology/"/>
    <m/>
    <m/>
    <m/>
    <m/>
    <m/>
    <n v="144218"/>
    <n v="34011"/>
    <n v="5225886"/>
    <n v="1852603"/>
    <s v="F"/>
    <n v="427"/>
    <n v="77"/>
    <n v="5545"/>
    <n v="26261"/>
    <s v="Very Hard"/>
    <n v="2283"/>
    <n v="2"/>
    <n v="1"/>
    <m/>
    <n v="15"/>
    <n v="5"/>
    <n v="1"/>
    <n v="5750"/>
    <n v="111"/>
    <n v="31"/>
    <n v="0"/>
    <n v="8"/>
    <n v="7"/>
    <n v="2"/>
    <m/>
    <m/>
    <m/>
    <m/>
    <s v="edf34583d38e9588eec46e076e5cbbc7"/>
    <n v="2785"/>
    <s v="Saturday, 15-Aug-2026 10:00:43 GMT"/>
    <m/>
    <m/>
    <m/>
    <s v="en-US"/>
    <s v="None"/>
    <m/>
    <s v="https://pmb.widyatama.ac.id/the-rapid-advancement-of-digital-technology/"/>
    <d v="2026-08-15T17:00:40"/>
  </r>
  <r>
    <s v="https://pmb.widyatama.ac.id/the-rapid-advancement-of-digital-technology-2/"/>
    <s v="text/html; charset=UTF-8"/>
    <x v="0"/>
    <m/>
    <x v="0"/>
    <m/>
    <s v="The Rapid Advancement of Digital Technology - PMB UTama"/>
    <n v="55"/>
    <n v="536"/>
    <m/>
    <n v="0"/>
    <n v="0"/>
    <m/>
    <n v="0"/>
    <m/>
    <n v="0"/>
    <m/>
    <n v="0"/>
    <s v="Jenjang Pendidikan"/>
    <n v="18"/>
    <s v="Blog Details"/>
    <n v="12"/>
    <s v="index, follow, max-image-preview:large, max-snippet:-1, max-video-preview:-1"/>
    <m/>
    <m/>
    <s v="https://pmb.widyatama.ac.id/the-rapid-advancement-of-digital-technology-2/"/>
    <m/>
    <m/>
    <m/>
    <m/>
    <m/>
    <n v="145219"/>
    <n v="34152"/>
    <n v="5225996"/>
    <n v="1852642"/>
    <s v="F"/>
    <n v="427"/>
    <n v="77"/>
    <n v="5545"/>
    <n v="26261"/>
    <s v="Very Hard"/>
    <n v="2272"/>
    <n v="2"/>
    <n v="1"/>
    <m/>
    <n v="21"/>
    <n v="8"/>
    <n v="1"/>
    <n v="9200"/>
    <n v="111"/>
    <n v="31"/>
    <n v="0"/>
    <n v="8"/>
    <n v="7"/>
    <n v="2"/>
    <m/>
    <m/>
    <m/>
    <m/>
    <s v="de50338135b618cb81c819f33a8c9036"/>
    <n v="3640"/>
    <s v="Saturday, 15-Aug-2026 10:00:45 GMT"/>
    <m/>
    <m/>
    <m/>
    <s v="en-US"/>
    <s v="None"/>
    <m/>
    <s v="https://pmb.widyatama.ac.id/the-rapid-advancement-of-digital-technology-2/"/>
    <d v="2026-08-15T17:00:42"/>
  </r>
  <r>
    <s v="https://pmb.widyatama.ac.id/democracy-in-indonesia-why-it-feels-weak-at-the-grassroots-3/"/>
    <s v="text/html; charset=UTF-8"/>
    <x v="0"/>
    <m/>
    <x v="0"/>
    <m/>
    <s v="Democracy in Indonesia: Why It Feels Weak at the Grassroots - PMB UTama"/>
    <n v="71"/>
    <n v="670"/>
    <m/>
    <n v="0"/>
    <n v="0"/>
    <m/>
    <n v="0"/>
    <m/>
    <n v="0"/>
    <m/>
    <n v="0"/>
    <s v="Jenjang Pendidikan"/>
    <n v="18"/>
    <s v="Blog Details"/>
    <n v="12"/>
    <s v="index, follow, max-image-preview:large, max-snippet:-1, max-video-preview:-1"/>
    <m/>
    <m/>
    <s v="https://pmb.widyatama.ac.id/democracy-in-indonesia-why-it-feels-weak-at-the-grassroots-3/"/>
    <m/>
    <m/>
    <m/>
    <m/>
    <m/>
    <n v="144487"/>
    <n v="33761"/>
    <n v="6076062"/>
    <n v="2153994"/>
    <s v="F"/>
    <n v="414"/>
    <n v="71"/>
    <n v="5831"/>
    <n v="27221"/>
    <s v="Very Hard"/>
    <n v="2203"/>
    <n v="2"/>
    <n v="1"/>
    <m/>
    <n v="21"/>
    <n v="8"/>
    <n v="1"/>
    <n v="9200"/>
    <n v="111"/>
    <n v="31"/>
    <n v="0"/>
    <n v="8"/>
    <n v="7"/>
    <n v="2"/>
    <m/>
    <m/>
    <m/>
    <m/>
    <s v="acd045fd1f1d5631be2f912a27fce49"/>
    <n v="8395"/>
    <s v="Saturday, 15-Aug-2026 10:00:48 GMT"/>
    <m/>
    <m/>
    <m/>
    <s v="en-US"/>
    <s v="2.0"/>
    <m/>
    <s v="https://pmb.widyatama.ac.id/democracy-in-indonesia-why-it-feels-weak-at-the-grassroots-3/"/>
    <d v="2026-08-15T17:00:45"/>
  </r>
  <r>
    <s v="https://pmb.widyatama.ac.id/program-studi/doktor-ilmu-manajemen/"/>
    <s v="text/html; charset=UTF-8"/>
    <x v="0"/>
    <m/>
    <x v="0"/>
    <m/>
    <s v="Doktor Ilmu Manajemen - PMB UTama"/>
    <n v="33"/>
    <n v="341"/>
    <m/>
    <n v="0"/>
    <n v="0"/>
    <m/>
    <n v="0"/>
    <s v="Doktor Ilmu Manajemen S3"/>
    <n v="24"/>
    <m/>
    <n v="0"/>
    <s v="Fakultas Pascasarjana"/>
    <n v="21"/>
    <s v="Doktor Ilmu Manajemen S3"/>
    <n v="24"/>
    <s v="index, follow, max-image-preview:large, max-snippet:-1, max-video-preview:-1"/>
    <m/>
    <m/>
    <s v="https://pmb.widyatama.ac.id/program-studi/doktor-ilmu-manajemen/"/>
    <m/>
    <m/>
    <m/>
    <m/>
    <m/>
    <n v="157454"/>
    <n v="33978"/>
    <n v="2902995"/>
    <n v="1029126"/>
    <s v="F"/>
    <n v="450"/>
    <n v="95"/>
    <n v="4737"/>
    <s v="0.000"/>
    <s v="Very Hard"/>
    <n v="2318"/>
    <n v="2"/>
    <n v="2"/>
    <m/>
    <n v="6"/>
    <n v="2"/>
    <n v="1"/>
    <n v="2300"/>
    <n v="113"/>
    <n v="29"/>
    <n v="0"/>
    <n v="10"/>
    <n v="8"/>
    <n v="2"/>
    <m/>
    <m/>
    <m/>
    <m/>
    <s v="10af3709841bffdcf7e1041e0f49e6b5"/>
    <n v="2937"/>
    <s v="Saturday, 15-Aug-2026 10:02:50 GMT"/>
    <m/>
    <m/>
    <m/>
    <s v="en-US"/>
    <s v="2.0"/>
    <m/>
    <s v="https://pmb.widyatama.ac.id/program-studi/doktor-ilmu-manajemen/"/>
    <d v="2026-08-15T17:02:47"/>
  </r>
  <r>
    <s v="https://pmb.widyatama.ac.id/program-studi/program-profesi-akuntansi/"/>
    <s v="text/html; charset=UTF-8"/>
    <x v="0"/>
    <m/>
    <x v="0"/>
    <m/>
    <s v="Program Profesi Akuntansi - PMB UTama"/>
    <n v="37"/>
    <n v="367"/>
    <m/>
    <n v="0"/>
    <n v="0"/>
    <m/>
    <n v="0"/>
    <s v="Pendidikan Profesi Akuntansi (PPAk)"/>
    <n v="35"/>
    <m/>
    <n v="0"/>
    <s v="Fakultas Pascasarjana"/>
    <n v="21"/>
    <s v="Pendidikan Profesi Akuntansi (PPAK)"/>
    <n v="35"/>
    <s v="index, follow, max-image-preview:large, max-snippet:-1, max-video-preview:-1"/>
    <m/>
    <m/>
    <s v="https://pmb.widyatama.ac.id/program-studi/program-profesi-akuntansi/"/>
    <m/>
    <m/>
    <m/>
    <m/>
    <m/>
    <n v="155007"/>
    <n v="33507"/>
    <n v="3357328"/>
    <n v="1190190"/>
    <s v="F"/>
    <n v="437"/>
    <n v="91"/>
    <n v="4802"/>
    <s v="0.000"/>
    <s v="Very Hard"/>
    <n v="2330"/>
    <n v="2"/>
    <n v="2"/>
    <m/>
    <n v="6"/>
    <n v="2"/>
    <n v="1"/>
    <n v="2300"/>
    <n v="113"/>
    <n v="29"/>
    <n v="0"/>
    <n v="10"/>
    <n v="8"/>
    <n v="2"/>
    <m/>
    <m/>
    <m/>
    <m/>
    <s v="333b286f3029a2bb02f2144522f0ecfa"/>
    <n v="11534"/>
    <s v="Saturday, 15-Aug-2026 10:03:15 GMT"/>
    <m/>
    <m/>
    <m/>
    <s v="en-US"/>
    <s v="2.0"/>
    <m/>
    <s v="https://pmb.widyatama.ac.id/program-studi/program-profesi-akuntansi/"/>
    <d v="2026-08-15T17:03:14"/>
  </r>
  <r>
    <s v="https://pmb.widyatama.ac.id/program-studi/magister-manajemen/"/>
    <s v="text/html; charset=UTF-8"/>
    <x v="3"/>
    <m/>
    <x v="1"/>
    <s v="Client Error"/>
    <m/>
    <n v="0"/>
    <n v="0"/>
    <m/>
    <n v="0"/>
    <n v="0"/>
    <m/>
    <n v="0"/>
    <m/>
    <n v="0"/>
    <m/>
    <n v="0"/>
    <m/>
    <n v="0"/>
    <m/>
    <n v="0"/>
    <m/>
    <m/>
    <m/>
    <m/>
    <m/>
    <m/>
    <m/>
    <m/>
    <m/>
    <n v="5722"/>
    <n v="4739"/>
    <n v="144531"/>
    <n v="51237"/>
    <s v="A+"/>
    <n v="0"/>
    <m/>
    <m/>
    <m/>
    <m/>
    <s v="0.000"/>
    <n v="2"/>
    <n v="2"/>
    <m/>
    <n v="1"/>
    <n v="1"/>
    <n v="0"/>
    <n v="1150"/>
    <n v="0"/>
    <n v="0"/>
    <n v="0"/>
    <n v="0"/>
    <n v="0"/>
    <n v="0"/>
    <m/>
    <m/>
    <m/>
    <m/>
    <m/>
    <s v="0.268"/>
    <m/>
    <m/>
    <m/>
    <m/>
    <m/>
    <s v="2.0"/>
    <m/>
    <s v="https://pmb.widyatama.ac.id/program-studi/magister-manajemen/"/>
    <d v="2026-08-15T17:03:41"/>
  </r>
  <r>
    <s v="https://pmb.widyatama.ac.id/jalur-seleksi-asing-reguler/"/>
    <s v="text/html; charset=UTF-8"/>
    <x v="3"/>
    <m/>
    <x v="1"/>
    <s v="Client Error"/>
    <m/>
    <n v="0"/>
    <n v="0"/>
    <m/>
    <n v="0"/>
    <n v="0"/>
    <m/>
    <n v="0"/>
    <m/>
    <n v="0"/>
    <m/>
    <n v="0"/>
    <m/>
    <n v="0"/>
    <m/>
    <n v="0"/>
    <m/>
    <m/>
    <m/>
    <m/>
    <m/>
    <m/>
    <m/>
    <m/>
    <m/>
    <n v="5707"/>
    <n v="4716"/>
    <n v="111431"/>
    <n v="39503"/>
    <s v="A+"/>
    <n v="0"/>
    <m/>
    <m/>
    <m/>
    <m/>
    <s v="0.000"/>
    <n v="2"/>
    <n v="1"/>
    <m/>
    <n v="2"/>
    <n v="2"/>
    <n v="0"/>
    <n v="2300"/>
    <n v="0"/>
    <n v="0"/>
    <n v="0"/>
    <n v="0"/>
    <n v="0"/>
    <n v="0"/>
    <m/>
    <m/>
    <m/>
    <m/>
    <m/>
    <s v="0.042"/>
    <m/>
    <m/>
    <m/>
    <m/>
    <m/>
    <s v="2.0"/>
    <m/>
    <s v="https://pmb.widyatama.ac.id/jalur-seleksi-asing-reguler/"/>
    <d v="2026-08-15T17:03:48"/>
  </r>
  <r>
    <s v="https://pmb.widyatama.ac.id/program-studi/magister-akuntansi/"/>
    <s v="text/html; charset=UTF-8"/>
    <x v="0"/>
    <m/>
    <x v="0"/>
    <m/>
    <s v="Magister Akuntansi - PMB UTama"/>
    <n v="30"/>
    <n v="301"/>
    <m/>
    <n v="0"/>
    <n v="0"/>
    <m/>
    <n v="0"/>
    <s v="Magister Akuntansi S2"/>
    <n v="21"/>
    <m/>
    <n v="0"/>
    <s v="Fakultas Pascasarjan"/>
    <n v="20"/>
    <s v="Magister Akuntansi S2"/>
    <n v="21"/>
    <s v="index, follow, max-image-preview:large, max-snippet:-1, max-video-preview:-1"/>
    <m/>
    <m/>
    <s v="https://pmb.widyatama.ac.id/program-studi/magister-akuntansi/"/>
    <m/>
    <m/>
    <m/>
    <m/>
    <m/>
    <n v="153586"/>
    <n v="33521"/>
    <n v="2727888"/>
    <n v="967050"/>
    <s v="F"/>
    <n v="415"/>
    <n v="96"/>
    <n v="4323"/>
    <s v="0.000"/>
    <s v="Very Hard"/>
    <n v="2216"/>
    <n v="2"/>
    <n v="2"/>
    <m/>
    <n v="6"/>
    <n v="2"/>
    <n v="1"/>
    <n v="2300"/>
    <n v="113"/>
    <n v="29"/>
    <n v="0"/>
    <n v="10"/>
    <n v="8"/>
    <n v="2"/>
    <m/>
    <m/>
    <m/>
    <m/>
    <s v="f42b22f9f642f048bc379521407510cb"/>
    <n v="2822"/>
    <s v="Saturday, 15-Aug-2026 10:03:39 GMT"/>
    <m/>
    <m/>
    <m/>
    <s v="en-US"/>
    <s v="2.0"/>
    <m/>
    <s v="https://pmb.widyatama.ac.id/program-studi/magister-akuntansi/"/>
    <d v="2026-08-15T17:03:35"/>
  </r>
  <r>
    <s v="https://pmb.widyatama.ac.id/program-kelas-karyawan-2/"/>
    <s v="text/html; charset=UTF-8"/>
    <x v="1"/>
    <m/>
    <x v="1"/>
    <s v="Client Error"/>
    <m/>
    <n v="0"/>
    <n v="0"/>
    <m/>
    <n v="0"/>
    <n v="0"/>
    <m/>
    <n v="0"/>
    <m/>
    <n v="0"/>
    <m/>
    <n v="0"/>
    <m/>
    <n v="0"/>
    <m/>
    <n v="0"/>
    <m/>
    <m/>
    <m/>
    <m/>
    <m/>
    <m/>
    <m/>
    <m/>
    <m/>
    <n v="120632"/>
    <n v="28512"/>
    <n v="873691"/>
    <n v="309728"/>
    <s v="B"/>
    <n v="0"/>
    <m/>
    <m/>
    <m/>
    <m/>
    <s v="0.000"/>
    <n v="2"/>
    <n v="1"/>
    <m/>
    <n v="1"/>
    <n v="1"/>
    <n v="0"/>
    <n v="1150"/>
    <n v="0"/>
    <n v="0"/>
    <n v="0"/>
    <n v="0"/>
    <n v="0"/>
    <n v="0"/>
    <m/>
    <m/>
    <m/>
    <m/>
    <m/>
    <n v="2460"/>
    <m/>
    <m/>
    <m/>
    <m/>
    <m/>
    <s v="2.0"/>
    <m/>
    <s v="https://pmb.widyatama.ac.id/program-kelas-karyawan-2/"/>
    <d v="2026-08-15T17:03:48"/>
  </r>
  <r>
    <s v="https://online.pmb.widyatama.ac.id/register/rpl"/>
    <s v="text/html; charset=UTF-8"/>
    <x v="0"/>
    <m/>
    <x v="0"/>
    <m/>
    <s v="PMB | Universitas Widyatama"/>
    <n v="27"/>
    <n v="262"/>
    <m/>
    <n v="0"/>
    <n v="0"/>
    <m/>
    <n v="0"/>
    <s v="Form Register PMB Rekognisi Pembelajaran Lampau"/>
    <n v="47"/>
    <m/>
    <n v="0"/>
    <m/>
    <n v="0"/>
    <m/>
    <n v="0"/>
    <m/>
    <m/>
    <m/>
    <m/>
    <m/>
    <m/>
    <m/>
    <m/>
    <m/>
    <n v="256303"/>
    <n v="22437"/>
    <n v="1029629"/>
    <n v="365009"/>
    <s v="C"/>
    <n v="2213"/>
    <n v="561"/>
    <n v="3945"/>
    <n v="100000"/>
    <s v="Very Easy"/>
    <n v="6281"/>
    <n v="2"/>
    <n v="1"/>
    <m/>
    <n v="16"/>
    <n v="4"/>
    <n v="4"/>
    <n v="4600"/>
    <n v="7"/>
    <n v="6"/>
    <n v="0"/>
    <n v="2"/>
    <n v="2"/>
    <n v="0"/>
    <m/>
    <m/>
    <m/>
    <m/>
    <s v="895a02a08a79d6bb4acd88240a876fab"/>
    <s v="0.320"/>
    <m/>
    <m/>
    <m/>
    <m/>
    <s v="en"/>
    <s v="2.0"/>
    <m/>
    <s v="https://online.pmb.widyatama.ac.id/register/rpl"/>
    <d v="2026-08-15T17:03:48"/>
  </r>
  <r>
    <s v="https://online.pmb.widyatama.ac.id/register/reg"/>
    <s v="text/html; charset=UTF-8"/>
    <x v="0"/>
    <m/>
    <x v="0"/>
    <m/>
    <s v="PMB | Universitas Widyatama"/>
    <n v="27"/>
    <n v="262"/>
    <m/>
    <n v="0"/>
    <n v="0"/>
    <m/>
    <n v="0"/>
    <s v="Form Register PMB Kelas Pagi"/>
    <n v="28"/>
    <m/>
    <n v="0"/>
    <m/>
    <n v="0"/>
    <m/>
    <n v="0"/>
    <m/>
    <m/>
    <m/>
    <m/>
    <m/>
    <m/>
    <m/>
    <m/>
    <m/>
    <n v="264444"/>
    <n v="22593"/>
    <n v="1030375"/>
    <n v="365273"/>
    <s v="C"/>
    <n v="3192"/>
    <n v="808"/>
    <n v="3950"/>
    <n v="100000"/>
    <s v="Very Easy"/>
    <n v="6091"/>
    <n v="2"/>
    <n v="1"/>
    <m/>
    <n v="19"/>
    <n v="5"/>
    <n v="4"/>
    <n v="5750"/>
    <n v="7"/>
    <n v="6"/>
    <n v="0"/>
    <n v="2"/>
    <n v="2"/>
    <n v="0"/>
    <m/>
    <m/>
    <m/>
    <m/>
    <s v="e921f872689df737e2be23834495fd0d"/>
    <s v="0.230"/>
    <m/>
    <m/>
    <m/>
    <m/>
    <s v="en"/>
    <s v="2.0"/>
    <m/>
    <s v="https://online.pmb.widyatama.ac.id/register/reg"/>
    <d v="2026-08-15T17:03:49"/>
  </r>
  <r>
    <s v="https://pmb.widyatama.ac.id/program-studi/perdagangan-internasional-s1/"/>
    <s v="text/html; charset=UTF-8"/>
    <x v="3"/>
    <m/>
    <x v="1"/>
    <s v="Client Error"/>
    <m/>
    <n v="0"/>
    <n v="0"/>
    <m/>
    <n v="0"/>
    <n v="0"/>
    <m/>
    <n v="0"/>
    <m/>
    <n v="0"/>
    <m/>
    <n v="0"/>
    <m/>
    <n v="0"/>
    <m/>
    <n v="0"/>
    <m/>
    <m/>
    <m/>
    <m/>
    <m/>
    <m/>
    <m/>
    <m/>
    <m/>
    <n v="5774"/>
    <n v="3799"/>
    <n v="110297"/>
    <n v="39101"/>
    <s v="A+"/>
    <n v="0"/>
    <m/>
    <m/>
    <m/>
    <m/>
    <s v="0.000"/>
    <n v="2"/>
    <n v="2"/>
    <m/>
    <n v="7"/>
    <n v="5"/>
    <n v="0"/>
    <n v="5750"/>
    <n v="0"/>
    <n v="0"/>
    <n v="0"/>
    <n v="0"/>
    <n v="0"/>
    <n v="0"/>
    <m/>
    <m/>
    <m/>
    <m/>
    <m/>
    <s v="0.043"/>
    <m/>
    <m/>
    <m/>
    <m/>
    <m/>
    <s v="2.0"/>
    <m/>
    <s v="https://pmb.widyatama.ac.id/program-studi/perdagangan-internasional-s1/"/>
    <d v="2026-08-15T17:03:58"/>
  </r>
  <r>
    <s v="https://online.pmb.widyatama.ac.id/register/sps"/>
    <s v="text/html; charset=UTF-8"/>
    <x v="0"/>
    <m/>
    <x v="0"/>
    <m/>
    <s v="PMB | Universitas Widyatama"/>
    <n v="27"/>
    <n v="262"/>
    <m/>
    <n v="0"/>
    <n v="0"/>
    <m/>
    <n v="0"/>
    <s v="Form Register PMB Pascasarjana"/>
    <n v="30"/>
    <m/>
    <n v="0"/>
    <m/>
    <n v="0"/>
    <m/>
    <n v="0"/>
    <m/>
    <m/>
    <m/>
    <m/>
    <m/>
    <m/>
    <m/>
    <m/>
    <m/>
    <n v="254208"/>
    <n v="22319"/>
    <n v="1029419"/>
    <n v="364934"/>
    <s v="C"/>
    <n v="2211"/>
    <n v="561"/>
    <n v="3941"/>
    <n v="100000"/>
    <s v="Very Easy"/>
    <n v="6607"/>
    <n v="2"/>
    <n v="1"/>
    <m/>
    <n v="54"/>
    <n v="8"/>
    <n v="19"/>
    <n v="9200"/>
    <n v="7"/>
    <n v="6"/>
    <n v="0"/>
    <n v="2"/>
    <n v="2"/>
    <n v="0"/>
    <m/>
    <m/>
    <m/>
    <m/>
    <s v="9e738ca6fda9cb5ba154f61e33b482ea"/>
    <s v="0.285"/>
    <m/>
    <m/>
    <m/>
    <m/>
    <s v="en"/>
    <s v="2.0"/>
    <m/>
    <s v="https://online.pmb.widyatama.ac.id/register/sps"/>
    <d v="2026-08-15T17:03:51"/>
  </r>
  <r>
    <s v="https://pmb.widyatama.ac.id/program-studi/pendidikan-profesi-akuntansi/"/>
    <s v="text/html; charset=UTF-8"/>
    <x v="1"/>
    <m/>
    <x v="1"/>
    <s v="Client Error"/>
    <m/>
    <n v="0"/>
    <n v="0"/>
    <m/>
    <n v="0"/>
    <n v="0"/>
    <m/>
    <n v="0"/>
    <m/>
    <n v="0"/>
    <m/>
    <n v="0"/>
    <m/>
    <n v="0"/>
    <m/>
    <n v="0"/>
    <m/>
    <m/>
    <m/>
    <m/>
    <m/>
    <m/>
    <m/>
    <m/>
    <m/>
    <n v="120669"/>
    <n v="28707"/>
    <n v="898274"/>
    <n v="318443"/>
    <s v="B"/>
    <n v="0"/>
    <m/>
    <m/>
    <m/>
    <m/>
    <s v="0.000"/>
    <n v="2"/>
    <n v="2"/>
    <m/>
    <n v="1"/>
    <n v="1"/>
    <n v="0"/>
    <n v="1150"/>
    <n v="0"/>
    <n v="0"/>
    <n v="0"/>
    <n v="0"/>
    <n v="0"/>
    <n v="0"/>
    <m/>
    <m/>
    <m/>
    <m/>
    <m/>
    <n v="2167"/>
    <m/>
    <m/>
    <m/>
    <m/>
    <m/>
    <s v="None"/>
    <m/>
    <s v="https://pmb.widyatama.ac.id/program-studi/pendidikan-profesi-akuntansi/"/>
    <d v="2026-08-15T17:03:54"/>
  </r>
  <r>
    <s v="https://pmb.widyatama.ac.id/jalur-seleksi-mahasiswa-asing-international/"/>
    <s v="text/html; charset=UTF-8"/>
    <x v="0"/>
    <m/>
    <x v="0"/>
    <m/>
    <s v="Jalur Seleksi Mahasiswa Asing UTama International Scholarship - PMB UTama"/>
    <n v="73"/>
    <n v="700"/>
    <m/>
    <n v="0"/>
    <n v="0"/>
    <m/>
    <n v="0"/>
    <s v="Jalur Seleksi Beasiswa UTama International Scholarship"/>
    <n v="54"/>
    <m/>
    <n v="0"/>
    <s v="Kesempatan studi bagi mahasiswa internasional berprestasi untuk bergabung di Universitas Widyatama."/>
    <n v="99"/>
    <s v="Jalur Ini Cocok untuk Mahasiswa Internasional Berprestasi yang Ingin Studi di Indonesia"/>
    <n v="87"/>
    <s v="index, follow, max-image-preview:large, max-snippet:-1, max-video-preview:-1"/>
    <m/>
    <m/>
    <s v="https://pmb.widyatama.ac.id/jalur-seleksi-mahasiswa-asing-international/"/>
    <m/>
    <m/>
    <m/>
    <m/>
    <m/>
    <n v="169032"/>
    <n v="36907"/>
    <n v="2853783"/>
    <n v="1011680"/>
    <s v="F"/>
    <n v="756"/>
    <n v="153"/>
    <n v="4941"/>
    <s v="0.000"/>
    <s v="Very Hard"/>
    <n v="3337"/>
    <n v="2"/>
    <n v="1"/>
    <m/>
    <n v="7"/>
    <n v="2"/>
    <n v="1"/>
    <n v="2300"/>
    <n v="127"/>
    <n v="30"/>
    <n v="0"/>
    <n v="16"/>
    <n v="9"/>
    <n v="3"/>
    <m/>
    <m/>
    <m/>
    <m/>
    <s v="c67a80db4cb43abdd795a90346000696"/>
    <n v="2276"/>
    <s v="Saturday, 15-Aug-2026 10:03:53 GMT"/>
    <m/>
    <m/>
    <m/>
    <s v="en-US"/>
    <s v="2.0"/>
    <m/>
    <s v="https://pmb.widyatama.ac.id/jalur-seleksi-mahasiswa-asing-international/"/>
    <d v="2026-08-15T17:03:50"/>
  </r>
  <r>
    <s v="https://pmb.widyatama.ac.id/program-studi/magister-manajemen-s2/"/>
    <s v="text/html; charset=UTF-8"/>
    <x v="1"/>
    <m/>
    <x v="1"/>
    <s v="Client Error"/>
    <m/>
    <n v="0"/>
    <n v="0"/>
    <m/>
    <n v="0"/>
    <n v="0"/>
    <m/>
    <n v="0"/>
    <m/>
    <n v="0"/>
    <m/>
    <n v="0"/>
    <m/>
    <n v="0"/>
    <m/>
    <n v="0"/>
    <m/>
    <m/>
    <m/>
    <m/>
    <m/>
    <m/>
    <m/>
    <m/>
    <m/>
    <n v="120655"/>
    <n v="28697"/>
    <n v="898427"/>
    <n v="318497"/>
    <s v="B"/>
    <n v="0"/>
    <m/>
    <m/>
    <m/>
    <m/>
    <s v="0.000"/>
    <n v="2"/>
    <n v="2"/>
    <m/>
    <n v="1"/>
    <n v="1"/>
    <n v="0"/>
    <n v="1150"/>
    <n v="0"/>
    <n v="0"/>
    <n v="0"/>
    <n v="0"/>
    <n v="0"/>
    <n v="0"/>
    <m/>
    <m/>
    <m/>
    <m/>
    <m/>
    <n v="2837"/>
    <m/>
    <m/>
    <m/>
    <m/>
    <m/>
    <s v="None"/>
    <m/>
    <s v="https://pmb.widyatama.ac.id/program-studi/magister-manajemen-s2/"/>
    <d v="2026-08-15T17:04:01"/>
  </r>
  <r>
    <s v="https://pmb.widyatama.ac.id/program-studi/teknik-mesin-s1/"/>
    <s v="text/html; charset=UTF-8"/>
    <x v="0"/>
    <m/>
    <x v="0"/>
    <m/>
    <s v="Teknik Mesin S1 - PMB UTama"/>
    <n v="27"/>
    <n v="274"/>
    <m/>
    <n v="0"/>
    <n v="0"/>
    <m/>
    <n v="0"/>
    <s v="Machinery in the Aviation Industry"/>
    <n v="34"/>
    <m/>
    <n v="0"/>
    <s v="Fakultas Teknik"/>
    <n v="15"/>
    <s v="Teknik Mesin S1"/>
    <n v="15"/>
    <s v="index, follow, max-image-preview:large, max-snippet:-1, max-video-preview:-1"/>
    <m/>
    <m/>
    <s v="https://pmb.widyatama.ac.id/program-studi/teknik-mesin-s1/"/>
    <m/>
    <m/>
    <m/>
    <m/>
    <m/>
    <n v="157349"/>
    <n v="33607"/>
    <n v="3263094"/>
    <n v="1156783"/>
    <s v="F"/>
    <n v="342"/>
    <n v="83"/>
    <n v="4120"/>
    <n v="4758"/>
    <s v="Very Hard"/>
    <n v="1907"/>
    <n v="2"/>
    <n v="2"/>
    <m/>
    <n v="12"/>
    <n v="6"/>
    <n v="1"/>
    <n v="6900"/>
    <n v="113"/>
    <n v="29"/>
    <n v="0"/>
    <n v="10"/>
    <n v="8"/>
    <n v="2"/>
    <m/>
    <m/>
    <m/>
    <m/>
    <s v="d023a4cfa838044fc62efa782aa59d92"/>
    <s v="0.085"/>
    <s v="Saturday, 15-Aug-2026 10:04:00 GMT"/>
    <m/>
    <m/>
    <m/>
    <s v="en-US"/>
    <s v="2.0"/>
    <m/>
    <s v="https://pmb.widyatama.ac.id/program-studi/teknik-mesin-s1/"/>
    <d v="2026-08-15T17:03:59"/>
  </r>
  <r>
    <s v="https://pmb.widyatama.ac.id/program-studi/branding-design-strategy-d4/"/>
    <s v="text/html; charset=UTF-8"/>
    <x v="0"/>
    <m/>
    <x v="0"/>
    <m/>
    <s v="Desain Grafis D4 - PMB UTama"/>
    <n v="28"/>
    <n v="276"/>
    <m/>
    <n v="0"/>
    <n v="0"/>
    <m/>
    <n v="0"/>
    <s v="Branding Design Strategy D4"/>
    <n v="27"/>
    <m/>
    <n v="0"/>
    <s v="Fakultas Desain Komunikasi Visual"/>
    <n v="33"/>
    <s v="Branding Design Strategy D4"/>
    <n v="27"/>
    <s v="index, follow, max-image-preview:large, max-snippet:-1, max-video-preview:-1"/>
    <m/>
    <m/>
    <s v="https://pmb.widyatama.ac.id/program-studi/branding-design-strategy-d4/"/>
    <m/>
    <m/>
    <m/>
    <m/>
    <m/>
    <n v="155903"/>
    <n v="33838"/>
    <n v="4691341"/>
    <n v="1663104"/>
    <s v="F"/>
    <n v="455"/>
    <n v="96"/>
    <n v="4740"/>
    <n v="7351"/>
    <s v="Very Hard"/>
    <n v="2270"/>
    <n v="2"/>
    <n v="2"/>
    <m/>
    <n v="10"/>
    <n v="5"/>
    <n v="1"/>
    <n v="5750"/>
    <n v="113"/>
    <n v="29"/>
    <n v="0"/>
    <n v="10"/>
    <n v="8"/>
    <n v="2"/>
    <m/>
    <m/>
    <m/>
    <m/>
    <s v="5ed180918d3b456880f5b44038f09db0"/>
    <n v="2604"/>
    <s v="Saturday, 15-Aug-2026 10:04:00 GMT"/>
    <m/>
    <m/>
    <m/>
    <s v="en-US"/>
    <s v="2.0"/>
    <m/>
    <s v="https://pmb.widyatama.ac.id/program-studi/branding-design-strategy-d4/"/>
    <d v="2026-08-15T17:03:56"/>
  </r>
  <r>
    <s v="https://pmb.widyatama.ac.id/program-studi/bahasa-jepang-s1/"/>
    <s v="text/html; charset=UTF-8"/>
    <x v="0"/>
    <m/>
    <x v="0"/>
    <m/>
    <s v="Bahasa Jepang S1 - PMB UTama"/>
    <n v="28"/>
    <n v="295"/>
    <m/>
    <n v="0"/>
    <n v="0"/>
    <m/>
    <n v="0"/>
    <s v="Fluent in Japanese as an Industrial Translator &amp; Interpreter"/>
    <n v="60"/>
    <m/>
    <n v="0"/>
    <s v="Fakultas Ilmu Budaya"/>
    <n v="20"/>
    <s v="Bahasa Jepang S1"/>
    <n v="16"/>
    <s v="index, follow, max-image-preview:large, max-snippet:-1, max-video-preview:-1"/>
    <m/>
    <m/>
    <s v="https://pmb.widyatama.ac.id/program-studi/bahasa-jepang-s1/"/>
    <m/>
    <m/>
    <m/>
    <m/>
    <m/>
    <n v="148644"/>
    <n v="32604"/>
    <n v="3527907"/>
    <n v="1250661"/>
    <s v="F"/>
    <n v="272"/>
    <n v="66"/>
    <n v="4121"/>
    <n v="25054"/>
    <s v="Very Hard"/>
    <n v="1694"/>
    <n v="2"/>
    <n v="2"/>
    <m/>
    <n v="12"/>
    <n v="6"/>
    <n v="1"/>
    <n v="6900"/>
    <n v="113"/>
    <n v="29"/>
    <n v="0"/>
    <n v="10"/>
    <n v="8"/>
    <n v="2"/>
    <m/>
    <m/>
    <m/>
    <m/>
    <s v="cc2d96ec232718151ec24b9b54ae65aa"/>
    <s v="0.083"/>
    <s v="Saturday, 15-Aug-2026 10:04:01 GMT"/>
    <m/>
    <m/>
    <m/>
    <s v="en-US"/>
    <s v="2.0"/>
    <m/>
    <s v="https://pmb.widyatama.ac.id/program-studi/bahasa-jepang-s1/"/>
    <d v="2026-08-15T17:04:00"/>
  </r>
  <r>
    <s v="https://pmb.widyatama.ac.id/program-studi/magister-akuntansi-s2/"/>
    <s v="text/html; charset=UTF-8"/>
    <x v="1"/>
    <m/>
    <x v="1"/>
    <s v="Client Error"/>
    <m/>
    <n v="0"/>
    <n v="0"/>
    <m/>
    <n v="0"/>
    <n v="0"/>
    <m/>
    <n v="0"/>
    <m/>
    <n v="0"/>
    <m/>
    <n v="0"/>
    <m/>
    <n v="0"/>
    <m/>
    <n v="0"/>
    <m/>
    <m/>
    <m/>
    <m/>
    <m/>
    <m/>
    <m/>
    <m/>
    <m/>
    <n v="120655"/>
    <n v="28700"/>
    <n v="898388"/>
    <n v="318483"/>
    <s v="B"/>
    <n v="0"/>
    <m/>
    <m/>
    <m/>
    <m/>
    <s v="0.000"/>
    <n v="2"/>
    <n v="2"/>
    <m/>
    <n v="1"/>
    <n v="1"/>
    <n v="0"/>
    <n v="1150"/>
    <n v="0"/>
    <n v="0"/>
    <n v="0"/>
    <n v="0"/>
    <n v="0"/>
    <n v="0"/>
    <m/>
    <m/>
    <m/>
    <m/>
    <m/>
    <n v="2952"/>
    <m/>
    <m/>
    <m/>
    <m/>
    <m/>
    <s v="None"/>
    <m/>
    <s v="https://pmb.widyatama.ac.id/program-studi/magister-akuntansi-s2/"/>
    <d v="2026-08-15T17:04:13"/>
  </r>
  <r>
    <s v="https://pmb.widyatama.ac.id/program-studi/japanese-for-business-and-tourism-d3/"/>
    <s v="text/html; charset=UTF-8"/>
    <x v="0"/>
    <m/>
    <x v="0"/>
    <m/>
    <s v="Bahasa Jepang D3 - PMB UTama"/>
    <n v="28"/>
    <n v="296"/>
    <m/>
    <n v="0"/>
    <n v="0"/>
    <m/>
    <n v="0"/>
    <s v="Fluent in Japanese as an Industrial Translator &amp; Interpreter"/>
    <n v="60"/>
    <m/>
    <n v="0"/>
    <s v="Fakultas Ilmu Budaya"/>
    <n v="20"/>
    <s v="Japanese for Business Management D3"/>
    <n v="35"/>
    <s v="index, follow, max-image-preview:large, max-snippet:-1, max-video-preview:-1"/>
    <m/>
    <m/>
    <s v="https://pmb.widyatama.ac.id/program-studi/japanese-for-business-and-tourism-d3/"/>
    <m/>
    <m/>
    <m/>
    <m/>
    <m/>
    <n v="159777"/>
    <n v="34078"/>
    <n v="4627487"/>
    <n v="1640467"/>
    <s v="F"/>
    <n v="387"/>
    <n v="88"/>
    <n v="4398"/>
    <n v="8688"/>
    <s v="Very Hard"/>
    <n v="2011"/>
    <n v="2"/>
    <n v="2"/>
    <m/>
    <n v="10"/>
    <n v="5"/>
    <n v="1"/>
    <n v="5750"/>
    <n v="113"/>
    <n v="29"/>
    <n v="0"/>
    <n v="10"/>
    <n v="8"/>
    <n v="2"/>
    <m/>
    <m/>
    <m/>
    <m/>
    <s v="77a0cd5788c0b46163c561ce5fd40ea9"/>
    <n v="2714"/>
    <s v="Saturday, 15-Aug-2026 10:04:09 GMT"/>
    <m/>
    <m/>
    <m/>
    <s v="en-US"/>
    <s v="None"/>
    <m/>
    <s v="https://pmb.widyatama.ac.id/program-studi/japanese-for-business-and-tourism-d3/"/>
    <d v="2026-08-15T17:04:06"/>
  </r>
  <r>
    <s v="https://pmb.widyatama.ac.id/program-studi/teknik-sipil-s1/"/>
    <s v="text/html; charset=UTF-8"/>
    <x v="0"/>
    <m/>
    <x v="0"/>
    <m/>
    <s v="Teknik Sipil S1 - PMB UTama"/>
    <n v="27"/>
    <n v="258"/>
    <m/>
    <n v="0"/>
    <n v="0"/>
    <m/>
    <n v="0"/>
    <s v="Infrastructure and Innovation for Resilient Society"/>
    <n v="51"/>
    <m/>
    <n v="0"/>
    <s v="Fakultas Teknik"/>
    <n v="15"/>
    <s v="Teknik Sipil S1"/>
    <n v="15"/>
    <s v="index, follow, max-image-preview:large, max-snippet:-1, max-video-preview:-1"/>
    <m/>
    <m/>
    <s v="https://pmb.widyatama.ac.id/program-studi/teknik-sipil-s1/"/>
    <m/>
    <m/>
    <m/>
    <m/>
    <m/>
    <n v="157971"/>
    <n v="33973"/>
    <n v="4118886"/>
    <n v="1460166"/>
    <s v="F"/>
    <n v="393"/>
    <n v="95"/>
    <n v="4137"/>
    <s v="0.000"/>
    <s v="Very Hard"/>
    <n v="2082"/>
    <n v="2"/>
    <n v="2"/>
    <m/>
    <n v="12"/>
    <n v="6"/>
    <n v="1"/>
    <n v="6900"/>
    <n v="113"/>
    <n v="29"/>
    <n v="0"/>
    <n v="10"/>
    <n v="8"/>
    <n v="2"/>
    <m/>
    <m/>
    <m/>
    <m/>
    <s v="2bd6a2472655e9273756f2629240a369"/>
    <s v="0.082"/>
    <s v="Saturday, 15-Aug-2026 10:04:09 GMT"/>
    <m/>
    <m/>
    <m/>
    <s v="en-US"/>
    <s v="None"/>
    <m/>
    <s v="https://pmb.widyatama.ac.id/program-studi/teknik-sipil-s1/"/>
    <d v="2026-08-15T17:04:08"/>
  </r>
  <r>
    <s v="https://pmb.widyatama.ac.id/program-studi/manajemen-sumber-daya-manusia-s1/"/>
    <s v="text/html; charset=UTF-8"/>
    <x v="0"/>
    <m/>
    <x v="0"/>
    <m/>
    <s v="Manajemen Sumber Daya Manusia S1 - PMB UTama"/>
    <n v="44"/>
    <n v="467"/>
    <m/>
    <n v="0"/>
    <n v="0"/>
    <m/>
    <n v="0"/>
    <s v="Human Capital Management"/>
    <n v="24"/>
    <m/>
    <n v="0"/>
    <s v="Fakultas Ekonomi Bisnis"/>
    <n v="23"/>
    <s v="Manajemen Sumber Daya Manusia S1"/>
    <n v="32"/>
    <s v="index, follow, max-image-preview:large, max-snippet:-1, max-video-preview:-1"/>
    <m/>
    <m/>
    <s v="https://pmb.widyatama.ac.id/program-studi/manajemen-sumber-daya-manusia-s1/"/>
    <m/>
    <m/>
    <m/>
    <m/>
    <m/>
    <n v="161612"/>
    <n v="34220"/>
    <n v="4778306"/>
    <n v="1693933"/>
    <s v="F"/>
    <n v="416"/>
    <n v="105"/>
    <n v="3962"/>
    <s v="0.000"/>
    <s v="Very Hard"/>
    <n v="2167"/>
    <n v="2"/>
    <n v="2"/>
    <m/>
    <n v="12"/>
    <n v="6"/>
    <n v="1"/>
    <n v="6900"/>
    <n v="113"/>
    <n v="29"/>
    <n v="0"/>
    <n v="10"/>
    <n v="8"/>
    <n v="2"/>
    <m/>
    <m/>
    <m/>
    <m/>
    <s v="8a6329cc25dd08b4985f9082b19bb713"/>
    <s v="0.132"/>
    <s v="Saturday, 15-Aug-2026 10:04:13 GMT"/>
    <m/>
    <m/>
    <m/>
    <s v="en-US"/>
    <s v="None"/>
    <m/>
    <s v="https://pmb.widyatama.ac.id/program-studi/manajemen-sumber-daya-manusia-s1/"/>
    <d v="2026-08-15T17:04:12"/>
  </r>
  <r>
    <s v="https://pmb.widyatama.ac.id/program-studi/manajemen-s3/"/>
    <s v="text/html; charset=UTF-8"/>
    <x v="4"/>
    <s v="Moved Permanently"/>
    <x v="1"/>
    <s v="Redirected"/>
    <m/>
    <n v="0"/>
    <n v="0"/>
    <m/>
    <n v="0"/>
    <n v="0"/>
    <m/>
    <n v="0"/>
    <m/>
    <n v="0"/>
    <m/>
    <n v="0"/>
    <m/>
    <n v="0"/>
    <m/>
    <n v="0"/>
    <m/>
    <m/>
    <m/>
    <m/>
    <m/>
    <m/>
    <m/>
    <m/>
    <m/>
    <n v="0"/>
    <n v="0"/>
    <n v="0"/>
    <s v="0.000"/>
    <s v="A+"/>
    <n v="0"/>
    <m/>
    <m/>
    <m/>
    <m/>
    <s v="0.000"/>
    <n v="2"/>
    <n v="2"/>
    <m/>
    <n v="1"/>
    <n v="1"/>
    <n v="0"/>
    <n v="1150"/>
    <n v="0"/>
    <n v="0"/>
    <n v="0"/>
    <n v="0"/>
    <n v="0"/>
    <n v="0"/>
    <m/>
    <m/>
    <m/>
    <m/>
    <m/>
    <n v="1893"/>
    <s v="Saturday, 15-Aug-2026 10:04:27 GMT"/>
    <s v="https://pmb.widyatama.ac.id/wp-content/uploads/2025/09/manajemen-s3.jpg"/>
    <s v="HTTP Redirect"/>
    <m/>
    <m/>
    <m/>
    <m/>
    <s v="https://pmb.widyatama.ac.id/program-studi/manajemen-s3/"/>
    <d v="2026-08-15T17:04:25"/>
  </r>
  <r>
    <s v="https://pmb.widyatama.ac.id/program-studi/manajemen-operasional-s1/"/>
    <s v="text/html; charset=UTF-8"/>
    <x v="0"/>
    <m/>
    <x v="0"/>
    <m/>
    <s v="Manajemen Operasional S1 - PMB UTama"/>
    <n v="36"/>
    <n v="373"/>
    <m/>
    <n v="0"/>
    <n v="0"/>
    <m/>
    <n v="0"/>
    <s v="Operations Management"/>
    <n v="21"/>
    <m/>
    <n v="0"/>
    <s v="Fakultas Ekonomi Bisnis"/>
    <n v="23"/>
    <s v="Manajemen Operasional S1"/>
    <n v="24"/>
    <s v="index, follow, max-image-preview:large, max-snippet:-1, max-video-preview:-1"/>
    <m/>
    <m/>
    <s v="https://pmb.widyatama.ac.id/program-studi/manajemen-operasional-s1/"/>
    <m/>
    <m/>
    <m/>
    <m/>
    <m/>
    <n v="157786"/>
    <n v="33843"/>
    <n v="4467750"/>
    <n v="1583840"/>
    <s v="F"/>
    <n v="331"/>
    <n v="92"/>
    <n v="3598"/>
    <s v="0.000"/>
    <s v="Very Hard"/>
    <n v="1931"/>
    <n v="2"/>
    <n v="2"/>
    <m/>
    <n v="12"/>
    <n v="6"/>
    <n v="1"/>
    <n v="6900"/>
    <n v="113"/>
    <n v="29"/>
    <n v="0"/>
    <n v="10"/>
    <n v="8"/>
    <n v="2"/>
    <m/>
    <m/>
    <m/>
    <m/>
    <s v="411b241434918f0e9cd194202648df00"/>
    <s v="0.092"/>
    <s v="Saturday, 15-Aug-2026 10:04:22 GMT"/>
    <m/>
    <m/>
    <m/>
    <s v="en-US"/>
    <s v="None"/>
    <m/>
    <s v="https://pmb.widyatama.ac.id/program-studi/manajemen-operasional-s1/"/>
    <d v="2026-08-15T17:04:21"/>
  </r>
  <r>
    <s v="https://pmb.widyatama.ac.id/program-studi/manajemen-kewirausahaan-s1/"/>
    <s v="text/html; charset=UTF-8"/>
    <x v="0"/>
    <m/>
    <x v="0"/>
    <m/>
    <s v="Manajemen Kewirausahaan S1 - PMB UTama"/>
    <n v="38"/>
    <n v="405"/>
    <m/>
    <n v="0"/>
    <n v="0"/>
    <m/>
    <n v="0"/>
    <s v="Entrepreneurship Management"/>
    <n v="27"/>
    <m/>
    <n v="0"/>
    <s v="Fakultas Ekonomi Bisnis"/>
    <n v="23"/>
    <s v="Manajemen Kewirausahaan S1"/>
    <n v="26"/>
    <s v="index, follow, max-image-preview:large, max-snippet:-1, max-video-preview:-1"/>
    <m/>
    <m/>
    <s v="https://pmb.widyatama.ac.id/program-studi/manajemen-kewirausahaan-s1/"/>
    <m/>
    <m/>
    <m/>
    <m/>
    <m/>
    <n v="158060"/>
    <n v="33956"/>
    <n v="3923171"/>
    <n v="1390784"/>
    <s v="F"/>
    <n v="347"/>
    <n v="92"/>
    <n v="3772"/>
    <s v="0.000"/>
    <s v="Very Hard"/>
    <n v="1946"/>
    <n v="2"/>
    <n v="2"/>
    <m/>
    <n v="12"/>
    <n v="6"/>
    <n v="1"/>
    <n v="6900"/>
    <n v="113"/>
    <n v="29"/>
    <n v="0"/>
    <n v="10"/>
    <n v="8"/>
    <n v="2"/>
    <m/>
    <m/>
    <m/>
    <m/>
    <s v="9405b777056457009722ab84906ad4e2"/>
    <s v="0.078"/>
    <s v="Saturday, 15-Aug-2026 10:04:22 GMT"/>
    <m/>
    <m/>
    <m/>
    <s v="en-US"/>
    <s v="None"/>
    <m/>
    <s v="https://pmb.widyatama.ac.id/program-studi/manajemen-kewirausahaan-s1/"/>
    <d v="2026-08-15T17:04:21"/>
  </r>
  <r>
    <s v="https://pmb.widyatama.ac.id/program-studi/teknik-industri-s1/"/>
    <s v="text/html; charset=UTF-8"/>
    <x v="0"/>
    <m/>
    <x v="0"/>
    <m/>
    <s v="Teknik Industri S1 - PMB UTama"/>
    <n v="30"/>
    <n v="287"/>
    <m/>
    <n v="0"/>
    <n v="0"/>
    <m/>
    <n v="0"/>
    <s v="Industrial Engineering &amp; Sustainable Innovation"/>
    <n v="47"/>
    <m/>
    <n v="0"/>
    <s v="Fakultas Teknik"/>
    <n v="15"/>
    <s v="Teknik Industri S1"/>
    <n v="18"/>
    <s v="index, follow, max-image-preview:large, max-snippet:-1, max-video-preview:-1"/>
    <m/>
    <m/>
    <s v="https://pmb.widyatama.ac.id/program-studi/teknik-industri-s1/"/>
    <m/>
    <m/>
    <m/>
    <m/>
    <m/>
    <n v="161061"/>
    <n v="33899"/>
    <n v="4542551"/>
    <n v="1610357"/>
    <s v="F"/>
    <n v="325"/>
    <n v="89"/>
    <n v="3652"/>
    <n v="6857"/>
    <s v="Very Hard"/>
    <n v="1835"/>
    <n v="2"/>
    <n v="2"/>
    <m/>
    <n v="12"/>
    <n v="6"/>
    <n v="1"/>
    <n v="6900"/>
    <n v="113"/>
    <n v="29"/>
    <n v="0"/>
    <n v="10"/>
    <n v="8"/>
    <n v="2"/>
    <m/>
    <m/>
    <m/>
    <m/>
    <s v="61922efa29009b4962ee39a2057f6014"/>
    <s v="0.458"/>
    <s v="Saturday, 15-Aug-2026 10:04:13 GMT"/>
    <m/>
    <m/>
    <m/>
    <s v="en-US"/>
    <s v="None"/>
    <m/>
    <s v="https://pmb.widyatama.ac.id/program-studi/teknik-industri-s1/"/>
    <d v="2026-08-15T17:04:12"/>
  </r>
  <r>
    <s v="https://pmb.widyatama.ac.id/program-studi/manajemen-keuangan-s1/"/>
    <s v="text/html; charset=UTF-8"/>
    <x v="0"/>
    <m/>
    <x v="0"/>
    <m/>
    <s v="Manajemen Keuangan S1 - PMB UTama"/>
    <n v="33"/>
    <n v="357"/>
    <m/>
    <n v="0"/>
    <n v="0"/>
    <m/>
    <n v="0"/>
    <s v="Digital Finance Management"/>
    <n v="26"/>
    <m/>
    <n v="0"/>
    <s v="Fakultas Ekonomi Bisnis"/>
    <n v="23"/>
    <s v="Manajemen Keuangan S1"/>
    <n v="21"/>
    <s v="index, follow, max-image-preview:large, max-snippet:-1, max-video-preview:-1"/>
    <m/>
    <m/>
    <s v="https://pmb.widyatama.ac.id/program-studi/manajemen-keuangan-s1/"/>
    <m/>
    <m/>
    <m/>
    <m/>
    <m/>
    <n v="161342"/>
    <n v="34272"/>
    <n v="3830653"/>
    <n v="1357986"/>
    <s v="F"/>
    <n v="418"/>
    <n v="108"/>
    <n v="3870"/>
    <s v="0.000"/>
    <s v="Very Hard"/>
    <n v="2175"/>
    <n v="2"/>
    <n v="2"/>
    <m/>
    <n v="12"/>
    <n v="6"/>
    <n v="1"/>
    <n v="6900"/>
    <n v="113"/>
    <n v="29"/>
    <n v="0"/>
    <n v="10"/>
    <n v="8"/>
    <n v="2"/>
    <m/>
    <m/>
    <m/>
    <m/>
    <s v="6d2680b7e38ca2f8069f965f8ecdb71a"/>
    <n v="2650"/>
    <s v="Saturday, 15-Aug-2026 10:04:23 GMT"/>
    <m/>
    <m/>
    <m/>
    <s v="en-US"/>
    <s v="None"/>
    <m/>
    <s v="https://pmb.widyatama.ac.id/program-studi/manajemen-keuangan-s1/"/>
    <d v="2026-08-15T17:04:20"/>
  </r>
  <r>
    <s v="https://pmb.widyatama.ac.id/program-studi/sistem-informasi-s1/"/>
    <s v="text/html; charset=UTF-8"/>
    <x v="0"/>
    <m/>
    <x v="0"/>
    <m/>
    <s v="Sistem Informasi S1 - PMB UTama"/>
    <n v="31"/>
    <n v="308"/>
    <m/>
    <n v="0"/>
    <n v="0"/>
    <m/>
    <n v="0"/>
    <s v="Information System and Digital Transformation"/>
    <n v="45"/>
    <m/>
    <n v="0"/>
    <s v="Fakultas Teknik"/>
    <n v="15"/>
    <s v="Sistem Informasi S1"/>
    <n v="19"/>
    <s v="index, follow, max-image-preview:large, max-snippet:-1, max-video-preview:-1"/>
    <m/>
    <m/>
    <s v="https://pmb.widyatama.ac.id/program-studi/sistem-informasi-s1/"/>
    <m/>
    <m/>
    <m/>
    <m/>
    <m/>
    <n v="162190"/>
    <n v="33688"/>
    <n v="3660679"/>
    <n v="1297729"/>
    <s v="F"/>
    <n v="436"/>
    <n v="111"/>
    <n v="3928"/>
    <s v="0.000"/>
    <s v="Very Hard"/>
    <n v="2176"/>
    <n v="2"/>
    <n v="2"/>
    <m/>
    <n v="12"/>
    <n v="6"/>
    <n v="1"/>
    <n v="6900"/>
    <n v="113"/>
    <n v="29"/>
    <n v="0"/>
    <n v="10"/>
    <n v="8"/>
    <n v="2"/>
    <m/>
    <m/>
    <m/>
    <m/>
    <s v="84fc9d398901adee3f6f1e769f300860"/>
    <s v="0.083"/>
    <s v="Saturday, 15-Aug-2026 10:04:28 GMT"/>
    <m/>
    <m/>
    <m/>
    <s v="en-US"/>
    <s v="2.0"/>
    <m/>
    <s v="https://pmb.widyatama.ac.id/program-studi/sistem-informasi-s1/"/>
    <d v="2026-08-15T17:04:27"/>
  </r>
  <r>
    <s v="https://pmb.widyatama.ac.id/program-studi/teknik-informatika-s1/"/>
    <s v="text/html; charset=UTF-8"/>
    <x v="0"/>
    <m/>
    <x v="0"/>
    <m/>
    <s v="Teknik Informatika S1 - PMB UTama"/>
    <n v="33"/>
    <n v="323"/>
    <m/>
    <n v="0"/>
    <n v="0"/>
    <m/>
    <n v="0"/>
    <s v="Informatics and Cyber Security"/>
    <n v="30"/>
    <m/>
    <n v="0"/>
    <s v="Fakultas Teknik"/>
    <n v="15"/>
    <s v="Teknik Informatika S1"/>
    <n v="21"/>
    <s v="index, follow, max-image-preview:large, max-snippet:-1, max-video-preview:-1"/>
    <m/>
    <m/>
    <s v="https://pmb.widyatama.ac.id/program-studi/teknik-informatika-s1/"/>
    <m/>
    <m/>
    <m/>
    <m/>
    <m/>
    <n v="160631"/>
    <n v="34562"/>
    <n v="3393540"/>
    <n v="1203027"/>
    <s v="F"/>
    <n v="560"/>
    <n v="141"/>
    <n v="3972"/>
    <n v="1123"/>
    <s v="Very Hard"/>
    <n v="2569"/>
    <n v="2"/>
    <n v="2"/>
    <m/>
    <n v="12"/>
    <n v="6"/>
    <n v="1"/>
    <n v="6900"/>
    <n v="113"/>
    <n v="29"/>
    <n v="0"/>
    <n v="10"/>
    <n v="8"/>
    <n v="2"/>
    <m/>
    <m/>
    <m/>
    <m/>
    <s v="2941d15f23ec28d0edf07add91667480"/>
    <s v="0.089"/>
    <s v="Saturday, 15-Aug-2026 10:04:34 GMT"/>
    <m/>
    <m/>
    <m/>
    <s v="en-US"/>
    <s v="None"/>
    <m/>
    <s v="https://pmb.widyatama.ac.id/program-studi/teknik-informatika-s1/"/>
    <d v="2026-08-15T17:04:33"/>
  </r>
  <r>
    <s v="https://pmb.widyatama.ac.id/program-studi/akuntansi-s1/"/>
    <s v="text/html; charset=UTF-8"/>
    <x v="0"/>
    <m/>
    <x v="0"/>
    <m/>
    <s v="Akuntansi S1 - PMB UTama"/>
    <n v="24"/>
    <n v="246"/>
    <m/>
    <n v="0"/>
    <n v="0"/>
    <m/>
    <n v="0"/>
    <s v="Professional Accountant"/>
    <n v="23"/>
    <m/>
    <n v="0"/>
    <s v="Fakultas Ekonomi Bisnis"/>
    <n v="23"/>
    <s v="Akuntansi S1"/>
    <n v="12"/>
    <s v="index, follow, max-image-preview:large, max-snippet:-1, max-video-preview:-1"/>
    <m/>
    <m/>
    <s v="https://pmb.widyatama.ac.id/program-studi/akuntansi-s1/"/>
    <m/>
    <m/>
    <m/>
    <m/>
    <m/>
    <n v="158956"/>
    <n v="33929"/>
    <n v="3783723"/>
    <n v="1341349"/>
    <s v="F"/>
    <n v="370"/>
    <n v="95"/>
    <n v="3895"/>
    <s v="0.000"/>
    <s v="Very Hard"/>
    <n v="2002"/>
    <n v="2"/>
    <n v="2"/>
    <m/>
    <n v="12"/>
    <n v="6"/>
    <n v="1"/>
    <n v="6900"/>
    <n v="113"/>
    <n v="29"/>
    <n v="0"/>
    <n v="10"/>
    <n v="8"/>
    <n v="2"/>
    <m/>
    <m/>
    <m/>
    <m/>
    <s v="8d00b16cbdb6f6c49f888d573b36ab82"/>
    <s v="0.084"/>
    <s v="Saturday, 15-Aug-2026 10:04:35 GMT"/>
    <m/>
    <m/>
    <m/>
    <s v="en-US"/>
    <s v="None"/>
    <m/>
    <s v="https://pmb.widyatama.ac.id/program-studi/akuntansi-s1/"/>
    <d v="2026-08-15T17:04:34"/>
  </r>
  <r>
    <s v="https://pmb.widyatama.ac.id/program-studi/creative-business-management-d3/"/>
    <s v="text/html; charset=UTF-8"/>
    <x v="0"/>
    <m/>
    <x v="0"/>
    <m/>
    <s v="Manajemen D3 - PMB UTama"/>
    <n v="24"/>
    <n v="262"/>
    <m/>
    <n v="0"/>
    <n v="0"/>
    <m/>
    <n v="0"/>
    <s v="Creative Business Management"/>
    <n v="28"/>
    <m/>
    <n v="0"/>
    <s v="Fakultas Ekonomi Bisnis"/>
    <n v="23"/>
    <s v="Creative Business Management D3"/>
    <n v="31"/>
    <s v="index, follow, max-image-preview:large, max-snippet:-1, max-video-preview:-1"/>
    <m/>
    <m/>
    <s v="https://pmb.widyatama.ac.id/program-studi/creative-business-management-d3/"/>
    <m/>
    <m/>
    <m/>
    <m/>
    <m/>
    <n v="162481"/>
    <n v="34320"/>
    <n v="3942934"/>
    <n v="1397790"/>
    <s v="F"/>
    <n v="469"/>
    <n v="131"/>
    <n v="3580"/>
    <n v="7485"/>
    <s v="Very Hard"/>
    <n v="2229"/>
    <n v="2"/>
    <n v="2"/>
    <m/>
    <n v="10"/>
    <n v="5"/>
    <n v="1"/>
    <n v="5750"/>
    <n v="113"/>
    <n v="29"/>
    <n v="0"/>
    <n v="10"/>
    <n v="8"/>
    <n v="2"/>
    <m/>
    <m/>
    <m/>
    <m/>
    <s v="b00e31adda5248e771e951f3292e2ce2"/>
    <s v="0.084"/>
    <s v="Saturday, 15-Aug-2026 10:04:35 GMT"/>
    <m/>
    <m/>
    <m/>
    <s v="en-US"/>
    <s v="None"/>
    <m/>
    <s v="https://pmb.widyatama.ac.id/program-studi/creative-business-management-d3/"/>
    <d v="2026-08-15T17:04:34"/>
  </r>
  <r>
    <s v="https://pmb.widyatama.ac.id/program-studi/film-and-television-production-d4/"/>
    <s v="text/html; charset=UTF-8"/>
    <x v="0"/>
    <m/>
    <x v="0"/>
    <m/>
    <s v="Film and Television Production D4 - PMB UTama"/>
    <n v="45"/>
    <n v="430"/>
    <m/>
    <n v="0"/>
    <n v="0"/>
    <m/>
    <n v="0"/>
    <s v="Film, TV &amp; Digital Media Production D4"/>
    <n v="38"/>
    <m/>
    <n v="0"/>
    <s v="Fakultas Ilmu Sosial Ilmu Politik"/>
    <n v="33"/>
    <s v="Film and Television Production D4"/>
    <n v="33"/>
    <s v="index, follow, max-image-preview:large, max-snippet:-1, max-video-preview:-1"/>
    <m/>
    <m/>
    <s v="https://pmb.widyatama.ac.id/program-studi/film-and-television-production-d4/"/>
    <m/>
    <m/>
    <m/>
    <m/>
    <m/>
    <n v="157340"/>
    <n v="33828"/>
    <n v="3408946"/>
    <n v="1208488"/>
    <s v="F"/>
    <n v="469"/>
    <n v="94"/>
    <n v="4989"/>
    <n v="25175"/>
    <s v="Very Hard"/>
    <n v="2168"/>
    <n v="2"/>
    <n v="2"/>
    <m/>
    <n v="12"/>
    <n v="6"/>
    <n v="1"/>
    <n v="6900"/>
    <n v="113"/>
    <n v="29"/>
    <n v="0"/>
    <n v="10"/>
    <n v="8"/>
    <n v="2"/>
    <m/>
    <m/>
    <m/>
    <m/>
    <s v="3a752af06d07a7435da2f1f4099cca47"/>
    <s v="0.166"/>
    <s v="Saturday, 15-Aug-2026 10:04:35 GMT"/>
    <m/>
    <m/>
    <m/>
    <s v="en-US"/>
    <s v="None"/>
    <m/>
    <s v="https://pmb.widyatama.ac.id/program-studi/film-and-television-production-d4/"/>
    <d v="2026-08-15T17:04:35"/>
  </r>
  <r>
    <s v="https://pmb.widyatama.ac.id/program-studi/manajemen-pemasaran-s1/"/>
    <s v="text/html; charset=UTF-8"/>
    <x v="0"/>
    <m/>
    <x v="0"/>
    <m/>
    <s v="Manajemen Pemasaran S1 - PMB UTama"/>
    <n v="34"/>
    <n v="369"/>
    <m/>
    <n v="0"/>
    <n v="0"/>
    <m/>
    <n v="0"/>
    <s v="Digital Marketing Management"/>
    <n v="28"/>
    <m/>
    <n v="0"/>
    <s v="Fakultas Ekonomi Bisnis"/>
    <n v="23"/>
    <s v="Manajemen Pemasaran S1"/>
    <n v="22"/>
    <s v="index, follow, max-image-preview:large, max-snippet:-1, max-video-preview:-1"/>
    <m/>
    <m/>
    <s v="https://pmb.widyatama.ac.id/program-studi/manajemen-pemasaran-s1/"/>
    <m/>
    <m/>
    <m/>
    <m/>
    <m/>
    <n v="161719"/>
    <n v="34250"/>
    <n v="3721498"/>
    <n v="1319290"/>
    <s v="F"/>
    <n v="415"/>
    <n v="105"/>
    <n v="3952"/>
    <s v="0.000"/>
    <s v="Very Hard"/>
    <n v="2134"/>
    <n v="2"/>
    <n v="2"/>
    <m/>
    <n v="12"/>
    <n v="6"/>
    <n v="1"/>
    <n v="6900"/>
    <n v="113"/>
    <n v="29"/>
    <n v="0"/>
    <n v="10"/>
    <n v="8"/>
    <n v="2"/>
    <m/>
    <m/>
    <m/>
    <m/>
    <s v="2fa61228dbbd733be2ffbf866f86bb05"/>
    <n v="2541"/>
    <s v="Saturday, 15-Aug-2026 10:04:42 GMT"/>
    <m/>
    <m/>
    <m/>
    <s v="en-US"/>
    <s v="None"/>
    <m/>
    <s v="https://pmb.widyatama.ac.id/program-studi/manajemen-pemasaran-s1/"/>
    <d v="2026-08-15T17:04:38"/>
  </r>
  <r>
    <s v="https://pmb.widyatama.ac.id/program-studi/perpustakaan-sains-informasi-s1/"/>
    <s v="text/html; charset=UTF-8"/>
    <x v="0"/>
    <m/>
    <x v="0"/>
    <m/>
    <s v="Perpustakaan dan Sains Informasi S1 - PMB UTama"/>
    <n v="47"/>
    <n v="463"/>
    <m/>
    <n v="0"/>
    <n v="0"/>
    <m/>
    <n v="0"/>
    <s v="Digital Library &amp; Information Science using 70% Tech-based Curriculum"/>
    <n v="69"/>
    <m/>
    <n v="0"/>
    <s v="Fakultas Ilmu Sosial Ilmu Politik"/>
    <n v="33"/>
    <s v="Perpustakaan &amp; Sains Informasi S1"/>
    <n v="33"/>
    <s v="index, follow, max-image-preview:large, max-snippet:-1, max-video-preview:-1"/>
    <m/>
    <m/>
    <s v="https://pmb.widyatama.ac.id/program-studi/perpustakaan-sains-informasi-s1/"/>
    <m/>
    <m/>
    <m/>
    <m/>
    <m/>
    <n v="162706"/>
    <n v="35007"/>
    <n v="3731765"/>
    <n v="1322929"/>
    <s v="F"/>
    <n v="725"/>
    <n v="148"/>
    <n v="4899"/>
    <s v="0.000"/>
    <s v="Very Hard"/>
    <n v="3324"/>
    <n v="2"/>
    <n v="2"/>
    <m/>
    <n v="10"/>
    <n v="5"/>
    <n v="1"/>
    <n v="5750"/>
    <n v="113"/>
    <n v="29"/>
    <n v="0"/>
    <n v="10"/>
    <n v="8"/>
    <n v="2"/>
    <m/>
    <m/>
    <m/>
    <m/>
    <s v="ceee67e2c5ccd634a6ad98200d70ebce"/>
    <s v="0.094"/>
    <s v="Saturday, 15-Aug-2026 10:04:46 GMT"/>
    <m/>
    <m/>
    <m/>
    <s v="en-US"/>
    <s v="None"/>
    <m/>
    <s v="https://pmb.widyatama.ac.id/program-studi/perpustakaan-sains-informasi-s1/"/>
    <d v="2026-08-15T17:04:45"/>
  </r>
  <r>
    <s v="https://pmb.widyatama.ac.id/program-studi/bahasa-inggris-s1/"/>
    <s v="text/html; charset=UTF-8"/>
    <x v="0"/>
    <m/>
    <x v="0"/>
    <m/>
    <s v="Bahasa Inggris S1 - PMB UTama"/>
    <n v="29"/>
    <n v="290"/>
    <m/>
    <n v="0"/>
    <n v="0"/>
    <m/>
    <n v="0"/>
    <s v="English for Diplomatic Purposes and Tourism"/>
    <n v="43"/>
    <m/>
    <n v="0"/>
    <s v="Fakultas Ilmu Budaya"/>
    <n v="20"/>
    <s v="Bahasa Inggris S1"/>
    <n v="17"/>
    <s v="index, follow, max-image-preview:large, max-snippet:-1, max-video-preview:-1"/>
    <m/>
    <m/>
    <s v="https://pmb.widyatama.ac.id/program-studi/bahasa-inggris-s1/"/>
    <m/>
    <m/>
    <m/>
    <m/>
    <m/>
    <n v="158449"/>
    <n v="34434"/>
    <n v="3807861"/>
    <n v="1349906"/>
    <s v="F"/>
    <n v="516"/>
    <n v="103"/>
    <n v="5010"/>
    <n v="7137"/>
    <s v="Very Hard"/>
    <n v="2435"/>
    <n v="2"/>
    <n v="2"/>
    <m/>
    <n v="12"/>
    <n v="6"/>
    <n v="1"/>
    <n v="6900"/>
    <n v="113"/>
    <n v="29"/>
    <n v="0"/>
    <n v="10"/>
    <n v="8"/>
    <n v="2"/>
    <m/>
    <m/>
    <m/>
    <m/>
    <s v="cfba9300554d96e4820943418e4ae07"/>
    <s v="0.077"/>
    <s v="Saturday, 15-Aug-2026 10:04:47 GMT"/>
    <m/>
    <m/>
    <m/>
    <s v="en-US"/>
    <s v="None"/>
    <m/>
    <s v="https://pmb.widyatama.ac.id/program-studi/bahasa-inggris-s1/"/>
    <d v="2026-08-15T17:04:47"/>
  </r>
  <r>
    <s v="https://pmb.widyatama.ac.id/program-studi/digital-accounting-d3/"/>
    <s v="text/html; charset=UTF-8"/>
    <x v="0"/>
    <m/>
    <x v="0"/>
    <m/>
    <s v="Digital Accounting D3 (Akuntansi D3) - PMB UTama"/>
    <n v="48"/>
    <n v="456"/>
    <m/>
    <n v="0"/>
    <n v="0"/>
    <m/>
    <n v="0"/>
    <s v="Digital Accounting"/>
    <n v="18"/>
    <m/>
    <n v="0"/>
    <s v="Fakultas Ekonomi Bisnis"/>
    <n v="23"/>
    <s v="Digital Accounting D3"/>
    <n v="21"/>
    <s v="index, follow, max-image-preview:large, max-snippet:-1, max-video-preview:-1"/>
    <m/>
    <m/>
    <s v="https://pmb.widyatama.ac.id/program-studi/digital-accounting-d3/"/>
    <m/>
    <m/>
    <m/>
    <m/>
    <m/>
    <n v="161494"/>
    <n v="34011"/>
    <n v="4181933"/>
    <n v="1482516"/>
    <s v="F"/>
    <n v="326"/>
    <n v="93"/>
    <n v="3505"/>
    <n v="9164"/>
    <s v="Very Hard"/>
    <n v="1807"/>
    <n v="2"/>
    <n v="2"/>
    <m/>
    <n v="10"/>
    <n v="5"/>
    <n v="1"/>
    <n v="5750"/>
    <n v="113"/>
    <n v="29"/>
    <n v="0"/>
    <n v="10"/>
    <n v="8"/>
    <n v="2"/>
    <m/>
    <m/>
    <m/>
    <m/>
    <s v="b53a95f4d81a0a57446997d52af8f429"/>
    <n v="2976"/>
    <s v="Saturday, 15-Aug-2026 10:04:49 GMT"/>
    <m/>
    <m/>
    <m/>
    <s v="en-US"/>
    <s v="None"/>
    <m/>
    <s v="https://pmb.widyatama.ac.id/program-studi/digital-accounting-d3/"/>
    <d v="2026-08-15T17:04:46"/>
  </r>
  <r>
    <s v="https://pmb.widyatama.ac.id/program-studi/teknik-elektro-s1/"/>
    <s v="text/html; charset=UTF-8"/>
    <x v="0"/>
    <m/>
    <x v="0"/>
    <m/>
    <s v="Teknik Elektro S1 - PMB UTama"/>
    <n v="29"/>
    <n v="281"/>
    <m/>
    <n v="0"/>
    <n v="0"/>
    <m/>
    <n v="0"/>
    <s v="Electrical and Smart Automation Engineering"/>
    <n v="43"/>
    <m/>
    <n v="0"/>
    <s v="Fakultas Teknik"/>
    <n v="15"/>
    <s v="Teknik Elektro S1"/>
    <n v="17"/>
    <s v="index, follow, max-image-preview:large, max-snippet:-1, max-video-preview:-1"/>
    <m/>
    <m/>
    <s v="https://pmb.widyatama.ac.id/program-studi/teknik-elektro-s1/"/>
    <m/>
    <m/>
    <m/>
    <m/>
    <m/>
    <n v="206482"/>
    <n v="37733"/>
    <n v="3388553"/>
    <n v="1201259"/>
    <s v="F"/>
    <n v="875"/>
    <n v="179"/>
    <n v="4888"/>
    <s v="0.000"/>
    <s v="Very Hard"/>
    <n v="2999"/>
    <n v="2"/>
    <n v="2"/>
    <m/>
    <n v="12"/>
    <n v="6"/>
    <n v="1"/>
    <n v="6900"/>
    <n v="117"/>
    <n v="29"/>
    <n v="0"/>
    <n v="12"/>
    <n v="8"/>
    <n v="2"/>
    <m/>
    <m/>
    <m/>
    <m/>
    <s v="32939f18ac1963b9494266b12ae55f8d"/>
    <n v="2911"/>
    <s v="Saturday, 15-Aug-2026 10:04:51 GMT"/>
    <m/>
    <m/>
    <m/>
    <s v="en-US"/>
    <s v="None"/>
    <m/>
    <s v="https://pmb.widyatama.ac.id/program-studi/teknik-elektro-s1/"/>
    <d v="2026-08-15T17:04:47"/>
  </r>
  <r>
    <s v="https://online.pmb.widyatama.ac.id/hasil"/>
    <s v="text/html; charset=UTF-8"/>
    <x v="0"/>
    <m/>
    <x v="0"/>
    <m/>
    <s v="PMB | Universitas Widyatama"/>
    <n v="27"/>
    <n v="262"/>
    <m/>
    <n v="0"/>
    <n v="0"/>
    <m/>
    <n v="0"/>
    <s v="Hasil Seleksi"/>
    <n v="13"/>
    <m/>
    <n v="0"/>
    <m/>
    <n v="0"/>
    <m/>
    <n v="0"/>
    <m/>
    <m/>
    <m/>
    <m/>
    <m/>
    <m/>
    <m/>
    <m/>
    <m/>
    <n v="17745"/>
    <n v="5697"/>
    <n v="962288"/>
    <n v="341136"/>
    <s v="C"/>
    <n v="15"/>
    <n v="8"/>
    <n v="1875"/>
    <n v="52652"/>
    <s v="Fairly Hard"/>
    <n v="1948"/>
    <n v="2"/>
    <n v="0"/>
    <m/>
    <n v="13"/>
    <n v="11"/>
    <n v="2"/>
    <n v="12640"/>
    <n v="7"/>
    <n v="5"/>
    <n v="0"/>
    <n v="2"/>
    <n v="2"/>
    <n v="0"/>
    <m/>
    <m/>
    <m/>
    <m/>
    <s v="7e49c6c7cce56c953d6e4af64c44bd5e"/>
    <s v="0.176"/>
    <m/>
    <m/>
    <m/>
    <m/>
    <s v="en"/>
    <s v="2.0"/>
    <m/>
    <s v="https://online.pmb.widyatama.ac.id/hasil"/>
    <d v="2026-08-15T17:04:57"/>
  </r>
  <r>
    <s v="https://pmb.widyatama.ac.id/foreign-students/"/>
    <s v="text/html; charset=UTF-8"/>
    <x v="1"/>
    <m/>
    <x v="1"/>
    <s v="Client Error"/>
    <m/>
    <n v="0"/>
    <n v="0"/>
    <m/>
    <n v="0"/>
    <n v="0"/>
    <m/>
    <n v="0"/>
    <m/>
    <n v="0"/>
    <m/>
    <n v="0"/>
    <m/>
    <n v="0"/>
    <m/>
    <n v="0"/>
    <m/>
    <m/>
    <m/>
    <m/>
    <m/>
    <m/>
    <m/>
    <m/>
    <m/>
    <n v="120616"/>
    <n v="28672"/>
    <n v="898355"/>
    <n v="318471"/>
    <s v="B"/>
    <n v="0"/>
    <m/>
    <m/>
    <m/>
    <m/>
    <s v="0.000"/>
    <n v="2"/>
    <n v="1"/>
    <m/>
    <n v="1"/>
    <n v="1"/>
    <n v="0"/>
    <n v="1150"/>
    <n v="0"/>
    <n v="0"/>
    <n v="0"/>
    <n v="0"/>
    <n v="0"/>
    <n v="0"/>
    <m/>
    <m/>
    <m/>
    <m/>
    <m/>
    <n v="2560"/>
    <m/>
    <m/>
    <m/>
    <m/>
    <m/>
    <s v="None"/>
    <m/>
    <s v="https://pmb.widyatama.ac.id/foreign-students/"/>
    <d v="2026-08-15T17:04:59"/>
  </r>
  <r>
    <s v="https://pmb.widyatama.ac.id/program-studi/interactive-multimedia-d3/"/>
    <s v="text/html; charset=UTF-8"/>
    <x v="0"/>
    <m/>
    <x v="0"/>
    <m/>
    <s v="Multimedia D3 - PMB UTama"/>
    <n v="25"/>
    <n v="257"/>
    <m/>
    <n v="0"/>
    <n v="0"/>
    <m/>
    <n v="0"/>
    <s v="Interactive Multimedia D3"/>
    <n v="25"/>
    <m/>
    <n v="0"/>
    <s v="Fakultas Desain Komunikasi Visual"/>
    <n v="33"/>
    <s v="Interactive Multimedia D3"/>
    <n v="25"/>
    <s v="index, follow, max-image-preview:large, max-snippet:-1, max-video-preview:-1"/>
    <m/>
    <m/>
    <s v="https://pmb.widyatama.ac.id/program-studi/interactive-multimedia-d3/"/>
    <m/>
    <m/>
    <m/>
    <m/>
    <m/>
    <n v="158782"/>
    <n v="33689"/>
    <n v="4784485"/>
    <n v="1696124"/>
    <s v="F"/>
    <n v="311"/>
    <n v="81"/>
    <n v="3840"/>
    <s v="0.000"/>
    <s v="Very Hard"/>
    <n v="1825"/>
    <n v="2"/>
    <n v="2"/>
    <m/>
    <n v="10"/>
    <n v="5"/>
    <n v="1"/>
    <n v="5750"/>
    <n v="113"/>
    <n v="29"/>
    <n v="0"/>
    <n v="10"/>
    <n v="8"/>
    <n v="2"/>
    <m/>
    <m/>
    <m/>
    <m/>
    <s v="8c48b5080d7ca9e2d0f7a4080eef09a8"/>
    <n v="2442"/>
    <s v="Saturday, 15-Aug-2026 10:04:56 GMT"/>
    <m/>
    <m/>
    <m/>
    <s v="en-US"/>
    <s v="None"/>
    <m/>
    <s v="https://pmb.widyatama.ac.id/program-studi/interactive-multimedia-d3/"/>
    <d v="2026-08-15T17:04:53"/>
  </r>
  <r>
    <s v="https://pmb.widyatama.ac.id/2025/09/19/page/2/"/>
    <s v="text/html; charset=UTF-8"/>
    <x v="1"/>
    <m/>
    <x v="1"/>
    <s v="Client Error"/>
    <m/>
    <n v="0"/>
    <n v="0"/>
    <m/>
    <n v="0"/>
    <n v="0"/>
    <m/>
    <n v="0"/>
    <m/>
    <n v="0"/>
    <m/>
    <n v="0"/>
    <m/>
    <n v="0"/>
    <m/>
    <n v="0"/>
    <m/>
    <m/>
    <m/>
    <m/>
    <m/>
    <m/>
    <m/>
    <m/>
    <m/>
    <n v="122145"/>
    <n v="28571"/>
    <n v="912196"/>
    <n v="323378"/>
    <s v="B"/>
    <n v="0"/>
    <m/>
    <m/>
    <m/>
    <m/>
    <s v="0.000"/>
    <n v="3"/>
    <n v="5"/>
    <m/>
    <n v="1"/>
    <n v="1"/>
    <n v="0"/>
    <n v="1150"/>
    <n v="0"/>
    <n v="0"/>
    <n v="0"/>
    <n v="0"/>
    <n v="0"/>
    <n v="0"/>
    <m/>
    <m/>
    <m/>
    <m/>
    <m/>
    <n v="2623"/>
    <m/>
    <m/>
    <m/>
    <m/>
    <m/>
    <s v="2.0"/>
    <m/>
    <s v="https://pmb.widyatama.ac.id/2025/09/19/page/2/"/>
    <d v="2026-08-15T17:05:08"/>
  </r>
  <r>
    <s v="https://online.pmb.widyatama.ac.id/auth/forgot_password"/>
    <s v="text/html; charset=UTF-8"/>
    <x v="0"/>
    <m/>
    <x v="0"/>
    <m/>
    <s v="PMB | Universitas Widyatama"/>
    <n v="27"/>
    <n v="262"/>
    <m/>
    <n v="0"/>
    <n v="0"/>
    <m/>
    <n v="0"/>
    <s v="Lupa Password"/>
    <n v="13"/>
    <m/>
    <n v="0"/>
    <m/>
    <n v="0"/>
    <m/>
    <n v="0"/>
    <m/>
    <m/>
    <m/>
    <m/>
    <m/>
    <m/>
    <m/>
    <m/>
    <m/>
    <n v="16918"/>
    <n v="5486"/>
    <n v="960301"/>
    <n v="340432"/>
    <s v="B"/>
    <n v="26"/>
    <n v="9"/>
    <n v="2889"/>
    <n v="44464"/>
    <s v="Hard"/>
    <n v="2453"/>
    <n v="3"/>
    <n v="1"/>
    <m/>
    <n v="2"/>
    <n v="2"/>
    <n v="0"/>
    <n v="2300"/>
    <n v="7"/>
    <n v="6"/>
    <n v="0"/>
    <n v="2"/>
    <n v="2"/>
    <n v="0"/>
    <m/>
    <m/>
    <m/>
    <m/>
    <s v="dbd4391ff49965f31d88f4dca297e767"/>
    <s v="0.116"/>
    <m/>
    <m/>
    <m/>
    <m/>
    <s v="en"/>
    <s v="2.0"/>
    <m/>
    <s v="https://online.pmb.widyatama.ac.id/auth/forgot_password"/>
    <d v="2026-08-15T17:05:09"/>
  </r>
  <r>
    <s v="https://pmb.widyatama.ac.id/category/science-and-technology/"/>
    <s v="text/html; charset=UTF-8"/>
    <x v="0"/>
    <m/>
    <x v="0"/>
    <m/>
    <s v="Science and Technology Archives - PMB UTama"/>
    <n v="43"/>
    <n v="425"/>
    <m/>
    <n v="0"/>
    <n v="0"/>
    <m/>
    <n v="0"/>
    <s v="The Rapid Advancement of Digital Technology"/>
    <n v="43"/>
    <s v="Democracy in Indonesia: Why It Feels Weak at the Grassroots"/>
    <n v="59"/>
    <s v="Search"/>
    <n v="6"/>
    <s v="Categories"/>
    <n v="10"/>
    <s v="index, follow, max-image-preview:large, max-snippet:-1, max-video-preview:-1"/>
    <m/>
    <m/>
    <s v="https://pmb.widyatama.ac.id/category/science-and-technology/"/>
    <m/>
    <m/>
    <m/>
    <m/>
    <m/>
    <n v="166699"/>
    <n v="33778"/>
    <n v="3051973"/>
    <n v="1081940"/>
    <s v="F"/>
    <n v="222"/>
    <n v="57"/>
    <n v="3895"/>
    <n v="60358"/>
    <s v="Normal"/>
    <n v="1397"/>
    <n v="3"/>
    <n v="2"/>
    <m/>
    <n v="7"/>
    <n v="3"/>
    <n v="1"/>
    <n v="3450"/>
    <n v="128"/>
    <n v="38"/>
    <n v="0"/>
    <n v="8"/>
    <n v="7"/>
    <n v="2"/>
    <m/>
    <m/>
    <m/>
    <m/>
    <s v="d39d316f49f20d216d05d0fa7bf646f4"/>
    <n v="3149"/>
    <s v="Saturday, 15-Aug-2026 10:05:12 GMT"/>
    <m/>
    <m/>
    <m/>
    <s v="en-US"/>
    <s v="2.0"/>
    <m/>
    <s v="https://pmb.widyatama.ac.id/category/science-and-technology/"/>
    <d v="2026-08-15T17:05:08"/>
  </r>
  <r>
    <s v="https://pmb.widyatama.ac.id/category/medicine/"/>
    <s v="text/html; charset=UTF-8"/>
    <x v="0"/>
    <m/>
    <x v="0"/>
    <m/>
    <s v="Medicine Archives - PMB UTama"/>
    <n v="29"/>
    <n v="290"/>
    <m/>
    <n v="0"/>
    <n v="0"/>
    <m/>
    <n v="0"/>
    <s v="The Rapid Advancement of Digital Technology"/>
    <n v="43"/>
    <s v="Democracy in Indonesia: Why It Feels Weak at the Grassroots"/>
    <n v="59"/>
    <s v="Search"/>
    <n v="6"/>
    <s v="Categories"/>
    <n v="10"/>
    <s v="index, follow, max-image-preview:large, max-snippet:-1, max-video-preview:-1"/>
    <m/>
    <m/>
    <s v="https://pmb.widyatama.ac.id/category/medicine/"/>
    <m/>
    <m/>
    <m/>
    <m/>
    <m/>
    <n v="167366"/>
    <n v="33725"/>
    <n v="3070529"/>
    <n v="1088518"/>
    <s v="F"/>
    <n v="231"/>
    <n v="60"/>
    <n v="3850"/>
    <n v="66688"/>
    <s v="Normal"/>
    <n v="1405"/>
    <n v="3"/>
    <n v="2"/>
    <m/>
    <n v="8"/>
    <n v="4"/>
    <n v="1"/>
    <n v="4600"/>
    <n v="131"/>
    <n v="38"/>
    <n v="0"/>
    <n v="8"/>
    <n v="7"/>
    <n v="2"/>
    <m/>
    <m/>
    <m/>
    <m/>
    <s v="fcd934a35a71210bf074ff3365aaaaff"/>
    <n v="3259"/>
    <s v="Saturday, 15-Aug-2026 10:05:12 GMT"/>
    <m/>
    <m/>
    <m/>
    <s v="en-US"/>
    <s v="2.0"/>
    <m/>
    <s v="https://pmb.widyatama.ac.id/category/medicine/"/>
    <d v="2026-08-15T17:05:08"/>
  </r>
  <r>
    <s v="https://pmb.widyatama.ac.id/category/law-and-policy/"/>
    <s v="text/html; charset=UTF-8"/>
    <x v="0"/>
    <m/>
    <x v="0"/>
    <m/>
    <s v="Law and Policy Archives - PMB UTama"/>
    <n v="35"/>
    <n v="342"/>
    <m/>
    <n v="0"/>
    <n v="0"/>
    <m/>
    <n v="0"/>
    <s v="The Rapid Advancement of Digital Technology"/>
    <n v="43"/>
    <s v="Democracy in Indonesia: Why It Feels Weak at the Grassroots"/>
    <n v="59"/>
    <s v="Search"/>
    <n v="6"/>
    <s v="Categories"/>
    <n v="10"/>
    <s v="index, follow, max-image-preview:large, max-snippet:-1, max-video-preview:-1"/>
    <m/>
    <m/>
    <s v="https://pmb.widyatama.ac.id/category/law-and-policy/"/>
    <m/>
    <m/>
    <m/>
    <m/>
    <m/>
    <n v="169192"/>
    <n v="33696"/>
    <n v="3029961"/>
    <n v="1074136"/>
    <s v="F"/>
    <n v="262"/>
    <n v="67"/>
    <n v="3910"/>
    <n v="65956"/>
    <s v="Normal"/>
    <n v="1470"/>
    <n v="3"/>
    <n v="2"/>
    <m/>
    <n v="9"/>
    <n v="5"/>
    <n v="1"/>
    <n v="5750"/>
    <n v="134"/>
    <n v="38"/>
    <n v="0"/>
    <n v="8"/>
    <n v="7"/>
    <n v="2"/>
    <m/>
    <m/>
    <m/>
    <m/>
    <s v="ada90af5e0d508811c4002193997db99"/>
    <n v="4566"/>
    <s v="Saturday, 15-Aug-2026 10:05:13 GMT"/>
    <m/>
    <m/>
    <m/>
    <s v="en-US"/>
    <s v="2.0"/>
    <m/>
    <s v="https://pmb.widyatama.ac.id/category/law-and-policy/"/>
    <d v="2026-08-15T17:05:08"/>
  </r>
  <r>
    <s v="https://pmb.widyatama.ac.id/category/science-and-technology/page/2/"/>
    <s v="text/html; charset=UTF-8"/>
    <x v="3"/>
    <m/>
    <x v="1"/>
    <s v="Client Error"/>
    <m/>
    <n v="0"/>
    <n v="0"/>
    <m/>
    <n v="0"/>
    <n v="0"/>
    <m/>
    <n v="0"/>
    <m/>
    <n v="0"/>
    <m/>
    <n v="0"/>
    <m/>
    <n v="0"/>
    <m/>
    <n v="0"/>
    <m/>
    <m/>
    <m/>
    <m/>
    <m/>
    <m/>
    <m/>
    <m/>
    <m/>
    <n v="5740"/>
    <n v="4685"/>
    <n v="109837"/>
    <n v="38938"/>
    <s v="A+"/>
    <n v="0"/>
    <m/>
    <m/>
    <m/>
    <m/>
    <s v="0.000"/>
    <n v="4"/>
    <n v="4"/>
    <m/>
    <n v="1"/>
    <n v="1"/>
    <n v="0"/>
    <n v="1150"/>
    <n v="0"/>
    <n v="0"/>
    <n v="0"/>
    <n v="0"/>
    <n v="0"/>
    <n v="0"/>
    <m/>
    <m/>
    <m/>
    <m/>
    <m/>
    <s v="0.831"/>
    <m/>
    <m/>
    <m/>
    <m/>
    <m/>
    <s v="2.0"/>
    <m/>
    <s v="https://pmb.widyatama.ac.id/category/science-and-technology/page/2/"/>
    <d v="2026-08-15T17:05:23"/>
  </r>
  <r>
    <s v="https://pmb.widyatama.ac.id/2025/09/13/"/>
    <s v="text/html; charset=UTF-8"/>
    <x v="0"/>
    <m/>
    <x v="1"/>
    <s v="noindex"/>
    <s v="September 13, 2025 - PMB UTama"/>
    <n v="30"/>
    <n v="305"/>
    <m/>
    <n v="0"/>
    <n v="0"/>
    <m/>
    <n v="0"/>
    <s v="The Rapid Advancement of Digital Technology"/>
    <n v="43"/>
    <s v="Democracy in Indonesia: Why It Feels Weak at the Grassroots"/>
    <n v="59"/>
    <s v="Search"/>
    <n v="6"/>
    <s v="Categories"/>
    <n v="10"/>
    <s v="noindex, follow"/>
    <m/>
    <m/>
    <m/>
    <m/>
    <m/>
    <m/>
    <m/>
    <m/>
    <n v="167064"/>
    <n v="33781"/>
    <n v="3225393"/>
    <n v="1143418"/>
    <s v="F"/>
    <n v="237"/>
    <n v="61"/>
    <n v="3885"/>
    <n v="64033"/>
    <s v="Normal"/>
    <n v="1426"/>
    <n v="3"/>
    <n v="3"/>
    <m/>
    <n v="11"/>
    <n v="6"/>
    <n v="1"/>
    <n v="6900"/>
    <n v="131"/>
    <n v="40"/>
    <n v="0"/>
    <n v="8"/>
    <n v="7"/>
    <n v="2"/>
    <m/>
    <m/>
    <m/>
    <m/>
    <s v="96fee2ad61e87726271d8c3df800faa0"/>
    <n v="2724"/>
    <s v="Saturday, 15-Aug-2026 10:05:18 GMT"/>
    <m/>
    <m/>
    <m/>
    <s v="en-US"/>
    <s v="None"/>
    <m/>
    <s v="https://pmb.widyatama.ac.id/2025/09/13/"/>
    <d v="2026-08-15T17:05:15"/>
  </r>
  <r>
    <s v="https://pmb.widyatama.ac.id/category/medicine/page/2/"/>
    <s v="text/html; charset=UTF-8"/>
    <x v="1"/>
    <m/>
    <x v="1"/>
    <s v="Client Error"/>
    <m/>
    <n v="0"/>
    <n v="0"/>
    <m/>
    <n v="0"/>
    <n v="0"/>
    <m/>
    <n v="0"/>
    <m/>
    <n v="0"/>
    <m/>
    <n v="0"/>
    <m/>
    <n v="0"/>
    <m/>
    <n v="0"/>
    <m/>
    <m/>
    <m/>
    <m/>
    <m/>
    <m/>
    <m/>
    <m/>
    <m/>
    <n v="122158"/>
    <n v="28313"/>
    <n v="895176"/>
    <n v="317344"/>
    <s v="B"/>
    <n v="0"/>
    <m/>
    <m/>
    <m/>
    <m/>
    <s v="0.000"/>
    <n v="4"/>
    <n v="4"/>
    <m/>
    <n v="1"/>
    <n v="1"/>
    <n v="0"/>
    <n v="1150"/>
    <n v="0"/>
    <n v="0"/>
    <n v="0"/>
    <n v="0"/>
    <n v="0"/>
    <n v="0"/>
    <m/>
    <m/>
    <m/>
    <m/>
    <m/>
    <n v="2589"/>
    <m/>
    <m/>
    <m/>
    <m/>
    <m/>
    <s v="2.0"/>
    <m/>
    <s v="https://pmb.widyatama.ac.id/category/medicine/page/2/"/>
    <d v="2026-08-15T17:05:24"/>
  </r>
  <r>
    <s v="https://pmb.widyatama.ac.id/category/law-and-policy/page/2/"/>
    <s v="text/html; charset=UTF-8"/>
    <x v="1"/>
    <m/>
    <x v="1"/>
    <s v="Client Error"/>
    <m/>
    <n v="0"/>
    <n v="0"/>
    <m/>
    <n v="0"/>
    <n v="0"/>
    <m/>
    <n v="0"/>
    <m/>
    <n v="0"/>
    <m/>
    <n v="0"/>
    <m/>
    <n v="0"/>
    <m/>
    <n v="0"/>
    <m/>
    <m/>
    <m/>
    <m/>
    <m/>
    <m/>
    <m/>
    <m/>
    <m/>
    <n v="122170"/>
    <n v="28327"/>
    <n v="895366"/>
    <n v="317412"/>
    <s v="B"/>
    <n v="0"/>
    <m/>
    <m/>
    <m/>
    <m/>
    <s v="0.000"/>
    <n v="4"/>
    <n v="4"/>
    <m/>
    <n v="1"/>
    <n v="1"/>
    <n v="0"/>
    <n v="1150"/>
    <n v="0"/>
    <n v="0"/>
    <n v="0"/>
    <n v="0"/>
    <n v="0"/>
    <n v="0"/>
    <m/>
    <m/>
    <m/>
    <m/>
    <m/>
    <n v="2988"/>
    <m/>
    <m/>
    <m/>
    <m/>
    <m/>
    <s v="2.0"/>
    <m/>
    <s v="https://pmb.widyatama.ac.id/category/law-and-policy/page/2/"/>
    <d v="2026-08-15T17:05:25"/>
  </r>
  <r>
    <s v="https://pmb.widyatama.ac.id/2025/09/13/page/2/"/>
    <s v="text/html; charset=UTF-8"/>
    <x v="1"/>
    <m/>
    <x v="1"/>
    <s v="Client Error"/>
    <m/>
    <n v="0"/>
    <n v="0"/>
    <m/>
    <n v="0"/>
    <n v="0"/>
    <m/>
    <n v="0"/>
    <m/>
    <n v="0"/>
    <m/>
    <n v="0"/>
    <m/>
    <n v="0"/>
    <m/>
    <n v="0"/>
    <m/>
    <m/>
    <m/>
    <m/>
    <m/>
    <m/>
    <m/>
    <m/>
    <m/>
    <n v="122145"/>
    <n v="28770"/>
    <n v="912641"/>
    <n v="323536"/>
    <s v="B"/>
    <n v="0"/>
    <m/>
    <m/>
    <m/>
    <m/>
    <s v="0.000"/>
    <n v="4"/>
    <n v="5"/>
    <m/>
    <n v="1"/>
    <n v="1"/>
    <n v="0"/>
    <n v="1150"/>
    <n v="0"/>
    <n v="0"/>
    <n v="0"/>
    <n v="0"/>
    <n v="0"/>
    <n v="0"/>
    <m/>
    <m/>
    <m/>
    <m/>
    <m/>
    <n v="2495"/>
    <m/>
    <m/>
    <m/>
    <m/>
    <m/>
    <s v="None"/>
    <m/>
    <s v="https://pmb.widyatama.ac.id/2025/09/13/page/2/"/>
    <d v="2026-08-15T1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915A3-12A4-479D-94B9-75A1D0B2F9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0:B133" firstHeaderRow="1" firstDataRow="1" firstDataCol="1"/>
  <pivotFields count="70">
    <pivotField showAll="0"/>
    <pivotField showAll="0"/>
    <pivotField showAll="0">
      <items count="6">
        <item x="0"/>
        <item x="4"/>
        <item x="2"/>
        <item x="3"/>
        <item x="1"/>
        <item t="default"/>
      </items>
    </pivotField>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s>
  <rowFields count="1">
    <field x="4"/>
  </rowFields>
  <rowItems count="3">
    <i>
      <x/>
    </i>
    <i>
      <x v="1"/>
    </i>
    <i t="grand">
      <x/>
    </i>
  </rowItems>
  <colItems count="1">
    <i/>
  </colItems>
  <dataFields count="1">
    <dataField name="Count of Indexability"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9A6451-C2B7-493E-AB50-B7E9BFBDA3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2:B128" firstHeaderRow="1" firstDataRow="1" firstDataCol="1"/>
  <pivotFields count="70">
    <pivotField showAll="0"/>
    <pivotField showAll="0"/>
    <pivotField axis="axisRow" dataField="1"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s>
  <rowFields count="1">
    <field x="2"/>
  </rowFields>
  <rowItems count="6">
    <i>
      <x/>
    </i>
    <i>
      <x v="1"/>
    </i>
    <i>
      <x v="2"/>
    </i>
    <i>
      <x v="3"/>
    </i>
    <i>
      <x v="4"/>
    </i>
    <i t="grand">
      <x/>
    </i>
  </rowItems>
  <colItems count="1">
    <i/>
  </colItems>
  <dataFields count="1">
    <dataField name="Count of Status Code" fld="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AF112E-6BFD-459E-9AD1-848AD5D00DDC}" autoFormatId="16" applyNumberFormats="0" applyBorderFormats="0" applyFontFormats="0" applyPatternFormats="0" applyAlignmentFormats="0" applyWidthHeightFormats="0">
  <queryTableRefresh nextId="19">
    <queryTableFields count="18">
      <queryTableField id="1" name="Test_ID" tableColumnId="1"/>
      <queryTableField id="2" name="Page_ID" tableColumnId="2"/>
      <queryTableField id="3" name="URL" tableColumnId="3"/>
      <queryTableField id="4" name="Device" tableColumnId="4"/>
      <queryTableField id="5" name="Final_Page_Type" tableColumnId="5"/>
      <queryTableField id="6" name="Speed_Test_Segment" tableColumnId="6"/>
      <queryTableField id="7" name="Test_Priority" tableColumnId="7"/>
      <queryTableField id="8" name="Performance" tableColumnId="8"/>
      <queryTableField id="9" name="Accessibility" tableColumnId="9"/>
      <queryTableField id="10" name="Best_Practices" tableColumnId="10"/>
      <queryTableField id="11" name="SEO" tableColumnId="11"/>
      <queryTableField id="12" name="FCP" tableColumnId="12"/>
      <queryTableField id="13" name="LCP" tableColumnId="13"/>
      <queryTableField id="14" name="CLS" tableColumnId="14"/>
      <queryTableField id="15" name="Speed_Index" tableColumnId="15"/>
      <queryTableField id="16" name="TBT" tableColumnId="16"/>
      <queryTableField id="17" name="Status" tableColumnId="17"/>
      <queryTableField id="18" name="Test_Date" tableColumnId="18"/>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247016-781D-48B9-B7AA-F069A6E3C9AF}" name="tblCrawl" displayName="tblCrawl" ref="A1:BR120" totalsRowShown="0">
  <autoFilter ref="A1:BR120" xr:uid="{90247016-781D-48B9-B7AA-F069A6E3C9AF}"/>
  <tableColumns count="70">
    <tableColumn id="1" xr3:uid="{257FDE4B-1E8A-4528-B3FD-E440B66D9853}" name="Address"/>
    <tableColumn id="2" xr3:uid="{8970E73A-69AD-48D9-8E5B-DE640624E4B0}" name="Content Type"/>
    <tableColumn id="3" xr3:uid="{B2FA7276-A9EA-44FE-B3F1-7D69A8116414}" name="Status Code"/>
    <tableColumn id="4" xr3:uid="{7EC6EB95-7DE7-47A7-B45C-092A6BD0875F}" name="Status"/>
    <tableColumn id="5" xr3:uid="{E79CFBBF-8654-49A0-9945-C963AF10440D}" name="Indexability"/>
    <tableColumn id="6" xr3:uid="{53DFDD05-1CA7-4115-AF16-063C845AC08E}" name="Indexability Status"/>
    <tableColumn id="7" xr3:uid="{B08FF34F-7C28-406A-8E9A-9EAEF99E8B86}" name="Title 1"/>
    <tableColumn id="8" xr3:uid="{64D1801B-4959-4CA5-91B7-EF5DBCAF7E74}" name="Title 1 Length"/>
    <tableColumn id="9" xr3:uid="{F276244B-221D-4277-BDD5-5A639A71B336}" name="Title 1 Pixel Width"/>
    <tableColumn id="10" xr3:uid="{ADB7610A-6E5E-4FC0-B167-F6D64F16D538}" name="Meta Description 1"/>
    <tableColumn id="11" xr3:uid="{024D62CE-836C-40D5-8A71-F39C64258877}" name="Meta Description 1 Length"/>
    <tableColumn id="12" xr3:uid="{2222C450-8B0D-431A-A25E-3DCDB5F3C84B}" name="Meta Description 1 Pixel Width"/>
    <tableColumn id="13" xr3:uid="{20656130-AF2A-4383-995D-A6EB1FA4EC11}" name="Meta Keywords 1"/>
    <tableColumn id="14" xr3:uid="{A4FF9D63-34FB-4612-B63C-63D2F6ACE345}" name="Meta Keywords 1 Length"/>
    <tableColumn id="15" xr3:uid="{354CFE70-3B2D-4814-B930-598BA6932A5A}" name="H1-1"/>
    <tableColumn id="16" xr3:uid="{1D7C9C35-5A34-4A94-9615-8DAEE2795256}" name="H1-1 Length"/>
    <tableColumn id="17" xr3:uid="{88406994-B2BD-4142-AC86-C4E44BA42458}" name="H1-2"/>
    <tableColumn id="18" xr3:uid="{4C1241FE-E6BF-40B9-A8CB-E5C753B67D85}" name="H1-2 Length"/>
    <tableColumn id="19" xr3:uid="{56D7668F-AF71-49E1-8A7E-9188D9580DCF}" name="H2-1"/>
    <tableColumn id="20" xr3:uid="{44F2A013-0811-40CC-B8BF-16ED60F4C753}" name="H2-1 Length"/>
    <tableColumn id="21" xr3:uid="{B0A796C0-8AE2-4B8D-9AB9-25C46408C098}" name="H2-2"/>
    <tableColumn id="22" xr3:uid="{84C5E376-F00E-46A3-BF45-D7AB7CF3F5EE}" name="H2-2 Length"/>
    <tableColumn id="23" xr3:uid="{5DA7B3AA-89CB-41DA-B071-0D6C1A11888C}" name="Meta Robots 1"/>
    <tableColumn id="24" xr3:uid="{11D5D189-BC29-40CE-8833-D84A79C1F293}" name="X-Robots-Tag 1"/>
    <tableColumn id="25" xr3:uid="{F1B920F1-259B-4C20-BCF5-3E7338B8BDD7}" name="Meta Refresh 1"/>
    <tableColumn id="26" xr3:uid="{9361DAD6-631A-4E87-96D7-EB7E9730974E}" name="Canonical Link Element 1"/>
    <tableColumn id="27" xr3:uid="{4026340E-DF55-47F8-B9AD-49EEFE0AD3CA}" name="rel=&quot;next&quot; 1"/>
    <tableColumn id="28" xr3:uid="{210F0EB0-25D7-4675-BBEF-08BDBF2B9666}" name="rel=&quot;prev&quot; 1"/>
    <tableColumn id="29" xr3:uid="{B4189A60-2722-4473-A0AF-7E7CE568D240}" name="HTTP rel=&quot;next&quot; 1"/>
    <tableColumn id="30" xr3:uid="{44FC382D-FC54-40FE-9FEE-BE9FED856DCF}" name="HTTP rel=&quot;prev&quot; 1"/>
    <tableColumn id="31" xr3:uid="{D87ABE91-3EF2-4410-A30A-7FE852CFA72A}" name="amphtml Link Element"/>
    <tableColumn id="32" xr3:uid="{6F47C5C1-897B-4F10-976B-8D8086BAFE4C}" name="Size (bytes)"/>
    <tableColumn id="33" xr3:uid="{F1473AE0-208D-498D-8182-814CA260385D}" name="Transferred (bytes)"/>
    <tableColumn id="34" xr3:uid="{9DC1D6ED-FBD2-42D9-9666-5760C6FC7D66}" name="Total Transferred (bytes)"/>
    <tableColumn id="35" xr3:uid="{9EB3E67D-F19A-4426-A770-E15746035B39}" name="CO2 (mg)" dataDxfId="22"/>
    <tableColumn id="36" xr3:uid="{6A6E2110-A3DC-4B9B-A89B-87DE9FC80C73}" name="Carbon Rating"/>
    <tableColumn id="37" xr3:uid="{0144E6CF-1A9C-4A5A-9E05-3F96A0F17B73}" name="Word Count"/>
    <tableColumn id="38" xr3:uid="{B9450000-0D21-471B-8431-C9E7F1BF73FD}" name="Sentence Count"/>
    <tableColumn id="39" xr3:uid="{571AC8F3-133D-4F22-8D40-D53676DC99CC}" name="Average Words Per Sentence"/>
    <tableColumn id="40" xr3:uid="{CD865280-CB28-47AC-AC16-1AF60430AB32}" name="Flesch Reading Ease Score"/>
    <tableColumn id="41" xr3:uid="{B3FE82F2-D57A-4AAD-8920-72D7C97A235A}" name="Readability"/>
    <tableColumn id="42" xr3:uid="{24834433-5AEE-4FA2-9BEA-15252B7EACD8}" name="Text Ratio"/>
    <tableColumn id="43" xr3:uid="{341F506A-D565-428A-85D5-D2C78D522F72}" name="Crawl Depth"/>
    <tableColumn id="44" xr3:uid="{1D79E069-1ADE-4842-A65E-35F6A8B612DE}" name="Folder Depth"/>
    <tableColumn id="45" xr3:uid="{85189DF1-3640-4026-BCA1-A1AF80B29042}" name="Link Score"/>
    <tableColumn id="46" xr3:uid="{87CFD713-2EE5-43F7-B603-EC1F61D79AF1}" name="Inlinks"/>
    <tableColumn id="47" xr3:uid="{1EB04FF9-9B5C-4554-ACDB-225B9164D6CD}" name="Unique Inlinks"/>
    <tableColumn id="48" xr3:uid="{526F4A72-3503-4728-B99F-1515FE081BD8}" name="Unique JS Inlinks"/>
    <tableColumn id="49" xr3:uid="{DDB1E880-D25E-4711-889B-68BD43BE7609}" name="% of Total" dataDxfId="21"/>
    <tableColumn id="50" xr3:uid="{F3A8005D-FB1E-44CA-9733-3352BC7E04E9}" name="Outlinks"/>
    <tableColumn id="51" xr3:uid="{2D3A5345-0E2B-4601-8E6F-EB882B9A961B}" name="Unique Outlinks"/>
    <tableColumn id="52" xr3:uid="{DF59C424-BAA1-4734-A35C-31C52BBBEBC3}" name="Unique JS Outlinks"/>
    <tableColumn id="53" xr3:uid="{13494B67-05B0-4806-8B54-731E392216C9}" name="External Outlinks"/>
    <tableColumn id="54" xr3:uid="{FD75998D-2757-4523-948E-09D49688D35A}" name="Unique External Outlinks"/>
    <tableColumn id="55" xr3:uid="{3B38AAA0-1811-4323-9F94-A82D5D27F836}" name="Unique External JS Outlinks"/>
    <tableColumn id="56" xr3:uid="{55EA0270-36A7-4679-AFFB-2C3D1C352A36}" name="Closest Similarity Match"/>
    <tableColumn id="57" xr3:uid="{23B76C17-9527-4A77-8357-8DEF5AC9B091}" name="No. Near Duplicates"/>
    <tableColumn id="58" xr3:uid="{A9BF603B-BFEF-44CA-9EAB-0F44040D5BED}" name="Spelling Errors"/>
    <tableColumn id="59" xr3:uid="{1A253F18-1C12-4713-887F-93F4402163D8}" name="Grammar Errors"/>
    <tableColumn id="60" xr3:uid="{DBA9F46B-06A7-497C-BD98-7B38889D58E0}" name="Hash"/>
    <tableColumn id="61" xr3:uid="{F83E1D70-C5C5-4C75-9485-ECEE76FEB3FA}" name="Response Time" dataDxfId="20"/>
    <tableColumn id="62" xr3:uid="{5DF7A4A1-ED5B-47EA-B425-ACF9E9FBF5CF}" name="Last Modified"/>
    <tableColumn id="63" xr3:uid="{AD361DEF-AC40-4F05-8F8B-5832EAE000AE}" name="Redirect URL"/>
    <tableColumn id="64" xr3:uid="{F2F0D55D-17CF-45B9-BF32-D88E22BFA631}" name="Redirect Type"/>
    <tableColumn id="65" xr3:uid="{BDCCA9F8-5FDE-4553-B0BA-38DE6C6E4BE3}" name="Cookies"/>
    <tableColumn id="66" xr3:uid="{97CE0E91-F513-4396-8631-C47E68CC6C1C}" name="Language"/>
    <tableColumn id="67" xr3:uid="{1549227E-F651-4E5C-BB97-3E09155FBB49}" name="HTTP Version"/>
    <tableColumn id="68" xr3:uid="{254AE8FC-66E3-4DB8-84AC-40042B1C5358}" name="Mobile Alternate Link"/>
    <tableColumn id="69" xr3:uid="{4534F2C1-F7CB-4DD2-9BAC-935A46C9BE12}" name="URL Encoded Address"/>
    <tableColumn id="70" xr3:uid="{84123DE5-E1C8-4D31-9287-9279D0F05CDD}" name="Crawl Timestamp"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F3750-901C-40AF-AA26-FB2F40AAE886}" name="tblBaselineInventory" displayName="tblBaselineInventory" ref="A1:N88" totalsRowShown="0">
  <autoFilter ref="A1:N88" xr:uid="{26EF3750-901C-40AF-AA26-FB2F40AAE886}"/>
  <tableColumns count="14">
    <tableColumn id="1" xr3:uid="{4B84D057-4193-463B-A6B2-E2EE596ADF41}" name="Page_ID"/>
    <tableColumn id="2" xr3:uid="{17175F57-8284-4D21-9E04-8373352B695A}" name="URL"/>
    <tableColumn id="3" xr3:uid="{10A4E6C4-AB94-45EF-AB54-CCE522F4B442}" name="Page_Title"/>
    <tableColumn id="4" xr3:uid="{419148C5-5556-46B1-B464-E45BA0D7919B}" name="Status_Code"/>
    <tableColumn id="5" xr3:uid="{6AE7C944-CF94-4313-8A0C-984ACBCF542A}" name="Indexability"/>
    <tableColumn id="6" xr3:uid="{5A8C89DA-FDF7-4E69-9BD0-39C3B3E84A5E}" name="Indexability_Status"/>
    <tableColumn id="7" xr3:uid="{041E7193-518E-4B2D-9B60-749FA0D44E6C}" name="Site_Scope"/>
    <tableColumn id="8" xr3:uid="{34DF6B71-50A1-4BC1-9D40-E78F55CE14ED}" name="Final_Page_Type"/>
    <tableColumn id="9" xr3:uid="{BBE80335-CE93-487B-8F60-27042982545C}" name="Speed_Test_Segment"/>
    <tableColumn id="10" xr3:uid="{B2EF8099-36B4-4715-95E6-C48AF335A74B}" name="Include_Speed_Test"/>
    <tableColumn id="11" xr3:uid="{634F6585-3CCF-4FF8-85FA-D0FAF9FC3A2C}" name="Test_Priority"/>
    <tableColumn id="12" xr3:uid="{66DF47D5-758F-4117-8FAE-6C617DB94C52}" name="Baseline_ID"/>
    <tableColumn id="13" xr3:uid="{66A684A3-87F8-44D7-9850-5216E2432737}" name="Snapshot_Date" dataDxfId="18"/>
    <tableColumn id="14" xr3:uid="{7B113344-6ADC-4B68-AB43-6059271E6E04}" name="Analysis_Pha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6BE899-7AEF-48CF-AA26-9DC770B57E9F}" name="tblPageSpeedInput" displayName="tblPageSpeedInput" ref="A1:I175" totalsRowShown="0">
  <autoFilter ref="A1:I175" xr:uid="{926BE899-7AEF-48CF-AA26-9DC770B57E9F}"/>
  <tableColumns count="9">
    <tableColumn id="1" xr3:uid="{89BCE316-A045-49AB-BA1C-B5A99E1E28F1}" name="Test_ID"/>
    <tableColumn id="2" xr3:uid="{0B6BE185-DF10-4E79-A294-E1EF1708F5CD}" name="Page_ID"/>
    <tableColumn id="3" xr3:uid="{3A00C2AE-AAAA-4760-A528-BA0A33DCF003}" name="URL"/>
    <tableColumn id="4" xr3:uid="{E60BFF7A-DD01-468C-8773-396B56DBD66D}" name="Device"/>
    <tableColumn id="5" xr3:uid="{9697D5AD-F0EB-4F7C-807D-B60B81B247B0}" name="Final_Page_Type"/>
    <tableColumn id="6" xr3:uid="{3CE3E0A1-3EF3-43C3-B5D3-061AEDDFF767}" name="Speed_Test_Segment"/>
    <tableColumn id="7" xr3:uid="{E1597D2A-13E2-48FF-B748-58FE9CBAB452}" name="Test_Priority"/>
    <tableColumn id="8" xr3:uid="{58463DC3-E057-4C93-BBBF-DD9ACE3C940E}" name="Baseline_ID"/>
    <tableColumn id="9" xr3:uid="{6D75CF28-CC9C-4102-94FA-E71BAB3BC4BD}" name="Analysis_Phas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EFC9E3-0922-4B10-8834-71F7A4146A08}" name="PAGESPEED_RAW" displayName="PAGESPEED_RAW" ref="A1:R175" tableType="queryTable" totalsRowShown="0">
  <autoFilter ref="A1:R175" xr:uid="{03EFC9E3-0922-4B10-8834-71F7A4146A08}"/>
  <tableColumns count="18">
    <tableColumn id="1" xr3:uid="{DF7C54CD-C78A-47D0-A19C-4D1851C8C324}" uniqueName="1" name="Test_ID" queryTableFieldId="1" dataDxfId="17"/>
    <tableColumn id="2" xr3:uid="{04C6BB22-90C9-4D05-8258-E56B61C12C38}" uniqueName="2" name="Page_ID" queryTableFieldId="2" dataDxfId="16"/>
    <tableColumn id="3" xr3:uid="{9E3801BC-B782-49CE-B275-AB6F3D974736}" uniqueName="3" name="URL" queryTableFieldId="3" dataDxfId="15"/>
    <tableColumn id="4" xr3:uid="{C3539A03-B6C6-4DFE-974B-E66BCF90DE77}" uniqueName="4" name="Device" queryTableFieldId="4" dataDxfId="14"/>
    <tableColumn id="5" xr3:uid="{49FBD375-B8FB-4A6C-97C9-FC0296E80968}" uniqueName="5" name="Final_Page_Type" queryTableFieldId="5" dataDxfId="13"/>
    <tableColumn id="6" xr3:uid="{039DE3E5-7738-444E-87AA-264F7C68DAE8}" uniqueName="6" name="Speed_Test_Segment" queryTableFieldId="6" dataDxfId="12"/>
    <tableColumn id="7" xr3:uid="{CA31542E-6CB7-4D0A-A394-9EF9D8EB35EC}" uniqueName="7" name="Test_Priority" queryTableFieldId="7" dataDxfId="11"/>
    <tableColumn id="8" xr3:uid="{02494912-9B27-4FE2-AE10-A4539F3F43D5}" uniqueName="8" name="Performance" queryTableFieldId="8" dataDxfId="10"/>
    <tableColumn id="9" xr3:uid="{9A06FEB4-9D82-4933-A708-0D9836378C31}" uniqueName="9" name="Accessibility" queryTableFieldId="9" dataDxfId="9"/>
    <tableColumn id="10" xr3:uid="{4A630FA5-8238-4531-8E63-7DED606D523F}" uniqueName="10" name="Best_Practices" queryTableFieldId="10" dataDxfId="8"/>
    <tableColumn id="11" xr3:uid="{58D2FF80-8C43-4916-B09E-536141FCE783}" uniqueName="11" name="SEO" queryTableFieldId="11" dataDxfId="7"/>
    <tableColumn id="12" xr3:uid="{7BC342B9-C673-4C71-866D-F7F1937B953E}" uniqueName="12" name="FCP" queryTableFieldId="12" dataDxfId="6"/>
    <tableColumn id="13" xr3:uid="{680962E0-D60A-47CB-818C-4B51241CF396}" uniqueName="13" name="LCP" queryTableFieldId="13" dataDxfId="5"/>
    <tableColumn id="14" xr3:uid="{2514A4E3-782C-4236-A900-1109C741DB75}" uniqueName="14" name="CLS" queryTableFieldId="14" dataDxfId="4"/>
    <tableColumn id="15" xr3:uid="{9A2E7FF7-8EE3-460A-B630-4CFDC6DD4850}" uniqueName="15" name="Speed_Index" queryTableFieldId="15" dataDxfId="3"/>
    <tableColumn id="16" xr3:uid="{32F31A50-7542-4953-9DBE-B366B77B40F7}" uniqueName="16" name="TBT" queryTableFieldId="16" dataDxfId="2"/>
    <tableColumn id="17" xr3:uid="{7A345ED3-02AD-44EC-BAB6-069B80D74380}" uniqueName="17" name="Status" queryTableFieldId="17" dataDxfId="1"/>
    <tableColumn id="18" xr3:uid="{AD24DCD9-E981-48B2-B82D-3FE2BCADB748}" uniqueName="18" name="Test_Date"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0479-D1AD-47DA-87B1-B50C88907AF5}">
  <dimension ref="A1:BR133"/>
  <sheetViews>
    <sheetView topLeftCell="A106" zoomScale="85" zoomScaleNormal="85" workbookViewId="0">
      <selection activeCell="E122" sqref="E122"/>
    </sheetView>
  </sheetViews>
  <sheetFormatPr defaultRowHeight="14.4"/>
  <cols>
    <col min="1" max="1" width="13.21875" bestFit="1" customWidth="1"/>
    <col min="2" max="2" width="18.5546875" bestFit="1" customWidth="1"/>
    <col min="3" max="3" width="13.21875" customWidth="1"/>
    <col min="5" max="5" width="12.6640625" customWidth="1"/>
    <col min="6" max="6" width="18.5546875" customWidth="1"/>
    <col min="8" max="8" width="14" customWidth="1"/>
    <col min="9" max="9" width="17.88671875" customWidth="1"/>
    <col min="10" max="10" width="18.77734375" customWidth="1"/>
    <col min="11" max="11" width="24.88671875" customWidth="1"/>
    <col min="12" max="12" width="28.77734375" customWidth="1"/>
    <col min="13" max="13" width="17.21875" customWidth="1"/>
    <col min="14" max="14" width="23.21875" customWidth="1"/>
    <col min="16" max="16" width="12.88671875" customWidth="1"/>
    <col min="18" max="18" width="12.88671875" customWidth="1"/>
    <col min="20" max="20" width="12.88671875" customWidth="1"/>
    <col min="22" max="22" width="12.88671875" customWidth="1"/>
    <col min="23" max="23" width="14.88671875" customWidth="1"/>
    <col min="24" max="25" width="15.5546875" customWidth="1"/>
    <col min="26" max="26" width="24.33203125" customWidth="1"/>
    <col min="27" max="28" width="12.77734375" customWidth="1"/>
    <col min="29" max="30" width="17.5546875" customWidth="1"/>
    <col min="31" max="31" width="22" customWidth="1"/>
    <col min="32" max="32" width="12.77734375" customWidth="1"/>
    <col min="33" max="33" width="18.77734375" customWidth="1"/>
    <col min="34" max="34" width="23.44140625" customWidth="1"/>
    <col min="35" max="35" width="11" customWidth="1"/>
    <col min="36" max="36" width="14.77734375" customWidth="1"/>
    <col min="37" max="37" width="12.77734375" customWidth="1"/>
    <col min="38" max="38" width="16.44140625" customWidth="1"/>
    <col min="39" max="39" width="27.21875" customWidth="1"/>
    <col min="40" max="40" width="25.44140625" customWidth="1"/>
    <col min="41" max="41" width="12.44140625" customWidth="1"/>
    <col min="42" max="42" width="11.21875" customWidth="1"/>
    <col min="43" max="43" width="13.33203125" customWidth="1"/>
    <col min="44" max="44" width="13.77734375" customWidth="1"/>
    <col min="45" max="45" width="11.77734375" customWidth="1"/>
    <col min="47" max="47" width="14.88671875" customWidth="1"/>
    <col min="48" max="48" width="17.109375" customWidth="1"/>
    <col min="49" max="49" width="11.109375" customWidth="1"/>
    <col min="50" max="50" width="10.109375" customWidth="1"/>
    <col min="51" max="51" width="16.44140625" customWidth="1"/>
    <col min="52" max="52" width="18.6640625" customWidth="1"/>
    <col min="53" max="53" width="17.33203125" customWidth="1"/>
    <col min="54" max="54" width="23.77734375" customWidth="1"/>
    <col min="55" max="55" width="26" customWidth="1"/>
    <col min="56" max="56" width="23.6640625" customWidth="1"/>
    <col min="57" max="57" width="19.77734375" customWidth="1"/>
    <col min="58" max="58" width="15" customWidth="1"/>
    <col min="59" max="59" width="16.33203125" customWidth="1"/>
    <col min="61" max="61" width="15.6640625" customWidth="1"/>
    <col min="62" max="62" width="14.21875" customWidth="1"/>
    <col min="63" max="63" width="13.88671875" customWidth="1"/>
    <col min="64" max="64" width="14.33203125" customWidth="1"/>
    <col min="65" max="65" width="9.77734375" customWidth="1"/>
    <col min="66" max="66" width="10.88671875" customWidth="1"/>
    <col min="67" max="67" width="14" customWidth="1"/>
    <col min="68" max="68" width="20.77734375" customWidth="1"/>
    <col min="69" max="69" width="21.21875" customWidth="1"/>
    <col min="70" max="70" width="17.77734375" customWidth="1"/>
  </cols>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t="s">
        <v>70</v>
      </c>
      <c r="B2" t="s">
        <v>71</v>
      </c>
      <c r="C2">
        <v>200</v>
      </c>
      <c r="E2" t="s">
        <v>72</v>
      </c>
      <c r="G2" t="s">
        <v>73</v>
      </c>
      <c r="H2">
        <v>16</v>
      </c>
      <c r="I2">
        <v>182</v>
      </c>
      <c r="K2">
        <v>0</v>
      </c>
      <c r="L2">
        <v>0</v>
      </c>
      <c r="N2">
        <v>0</v>
      </c>
      <c r="O2" t="s">
        <v>74</v>
      </c>
      <c r="P2">
        <v>55</v>
      </c>
      <c r="R2">
        <v>0</v>
      </c>
      <c r="S2" t="s">
        <v>75</v>
      </c>
      <c r="T2">
        <v>39</v>
      </c>
      <c r="U2" t="s">
        <v>76</v>
      </c>
      <c r="V2">
        <v>48</v>
      </c>
      <c r="W2" t="s">
        <v>77</v>
      </c>
      <c r="Z2" t="s">
        <v>70</v>
      </c>
      <c r="AF2">
        <v>222241</v>
      </c>
      <c r="AG2">
        <v>46607</v>
      </c>
      <c r="AH2">
        <v>37100272</v>
      </c>
      <c r="AI2" s="1">
        <v>13152232</v>
      </c>
      <c r="AJ2" t="s">
        <v>78</v>
      </c>
      <c r="AK2">
        <v>961</v>
      </c>
      <c r="AL2">
        <v>199</v>
      </c>
      <c r="AM2" s="1">
        <v>4829</v>
      </c>
      <c r="AN2" t="s">
        <v>79</v>
      </c>
      <c r="AO2" t="s">
        <v>80</v>
      </c>
      <c r="AP2" s="1">
        <v>3528</v>
      </c>
      <c r="AQ2">
        <v>0</v>
      </c>
      <c r="AR2">
        <v>0</v>
      </c>
      <c r="AT2">
        <v>466</v>
      </c>
      <c r="AU2">
        <v>77</v>
      </c>
      <c r="AV2">
        <v>77</v>
      </c>
      <c r="AW2" s="1">
        <v>88510</v>
      </c>
      <c r="AX2">
        <v>128</v>
      </c>
      <c r="AY2">
        <v>32</v>
      </c>
      <c r="AZ2">
        <v>0</v>
      </c>
      <c r="BA2">
        <v>21</v>
      </c>
      <c r="BB2">
        <v>12</v>
      </c>
      <c r="BC2">
        <v>4</v>
      </c>
      <c r="BH2" t="s">
        <v>81</v>
      </c>
      <c r="BI2" s="1">
        <v>3290</v>
      </c>
      <c r="BJ2" t="s">
        <v>82</v>
      </c>
      <c r="BN2" t="s">
        <v>83</v>
      </c>
      <c r="BO2" t="s">
        <v>84</v>
      </c>
      <c r="BQ2" t="s">
        <v>70</v>
      </c>
      <c r="BR2" s="2">
        <v>46249.704710648148</v>
      </c>
    </row>
    <row r="3" spans="1:70">
      <c r="A3" t="s">
        <v>85</v>
      </c>
      <c r="B3" t="s">
        <v>71</v>
      </c>
      <c r="C3">
        <v>404</v>
      </c>
      <c r="D3" t="s">
        <v>86</v>
      </c>
      <c r="E3" t="s">
        <v>87</v>
      </c>
      <c r="F3" t="s">
        <v>88</v>
      </c>
      <c r="H3">
        <v>0</v>
      </c>
      <c r="I3">
        <v>0</v>
      </c>
      <c r="K3">
        <v>0</v>
      </c>
      <c r="L3">
        <v>0</v>
      </c>
      <c r="N3">
        <v>0</v>
      </c>
      <c r="P3">
        <v>0</v>
      </c>
      <c r="R3">
        <v>0</v>
      </c>
      <c r="T3">
        <v>0</v>
      </c>
      <c r="V3">
        <v>0</v>
      </c>
      <c r="AF3">
        <v>0</v>
      </c>
      <c r="AG3">
        <v>0</v>
      </c>
      <c r="AH3">
        <v>0</v>
      </c>
      <c r="AI3" t="s">
        <v>79</v>
      </c>
      <c r="AJ3" t="s">
        <v>89</v>
      </c>
      <c r="AK3">
        <v>0</v>
      </c>
      <c r="AP3" t="s">
        <v>79</v>
      </c>
      <c r="AQ3">
        <v>1</v>
      </c>
      <c r="AR3">
        <v>5</v>
      </c>
      <c r="AT3">
        <v>0</v>
      </c>
      <c r="AU3">
        <v>0</v>
      </c>
      <c r="AV3">
        <v>0</v>
      </c>
      <c r="AW3" t="s">
        <v>79</v>
      </c>
      <c r="AX3">
        <v>0</v>
      </c>
      <c r="AY3">
        <v>0</v>
      </c>
      <c r="AZ3">
        <v>0</v>
      </c>
      <c r="BA3">
        <v>0</v>
      </c>
      <c r="BB3">
        <v>0</v>
      </c>
      <c r="BC3">
        <v>0</v>
      </c>
      <c r="BI3" s="1">
        <v>21137</v>
      </c>
      <c r="BQ3" t="s">
        <v>85</v>
      </c>
      <c r="BR3" s="2">
        <v>46249.704756944448</v>
      </c>
    </row>
    <row r="4" spans="1:70">
      <c r="A4" t="s">
        <v>90</v>
      </c>
      <c r="B4" t="s">
        <v>91</v>
      </c>
      <c r="C4">
        <v>404</v>
      </c>
      <c r="E4" t="s">
        <v>87</v>
      </c>
      <c r="F4" t="s">
        <v>88</v>
      </c>
      <c r="H4">
        <v>0</v>
      </c>
      <c r="I4">
        <v>0</v>
      </c>
      <c r="K4">
        <v>0</v>
      </c>
      <c r="L4">
        <v>0</v>
      </c>
      <c r="N4">
        <v>0</v>
      </c>
      <c r="P4">
        <v>0</v>
      </c>
      <c r="R4">
        <v>0</v>
      </c>
      <c r="T4">
        <v>0</v>
      </c>
      <c r="V4">
        <v>0</v>
      </c>
      <c r="AF4">
        <v>4741</v>
      </c>
      <c r="AG4">
        <v>2125</v>
      </c>
      <c r="AH4">
        <v>6745</v>
      </c>
      <c r="AI4" s="1">
        <v>2391</v>
      </c>
      <c r="AJ4" t="s">
        <v>89</v>
      </c>
      <c r="AK4">
        <v>0</v>
      </c>
      <c r="AP4" t="s">
        <v>79</v>
      </c>
      <c r="AQ4">
        <v>1</v>
      </c>
      <c r="AR4">
        <v>2</v>
      </c>
      <c r="AT4">
        <v>9</v>
      </c>
      <c r="AU4">
        <v>3</v>
      </c>
      <c r="AV4">
        <v>0</v>
      </c>
      <c r="AW4" s="1">
        <v>3450</v>
      </c>
      <c r="AX4">
        <v>0</v>
      </c>
      <c r="AY4">
        <v>0</v>
      </c>
      <c r="AZ4">
        <v>0</v>
      </c>
      <c r="BA4">
        <v>0</v>
      </c>
      <c r="BB4">
        <v>0</v>
      </c>
      <c r="BC4">
        <v>0</v>
      </c>
      <c r="BI4" t="s">
        <v>92</v>
      </c>
      <c r="BO4" t="s">
        <v>84</v>
      </c>
      <c r="BQ4" t="s">
        <v>90</v>
      </c>
      <c r="BR4" s="2">
        <v>46249.705347222225</v>
      </c>
    </row>
    <row r="5" spans="1:70">
      <c r="A5" t="s">
        <v>93</v>
      </c>
      <c r="B5" t="s">
        <v>71</v>
      </c>
      <c r="C5">
        <v>404</v>
      </c>
      <c r="E5" t="s">
        <v>87</v>
      </c>
      <c r="F5" t="s">
        <v>88</v>
      </c>
      <c r="H5">
        <v>0</v>
      </c>
      <c r="I5">
        <v>0</v>
      </c>
      <c r="K5">
        <v>0</v>
      </c>
      <c r="L5">
        <v>0</v>
      </c>
      <c r="N5">
        <v>0</v>
      </c>
      <c r="P5">
        <v>0</v>
      </c>
      <c r="R5">
        <v>0</v>
      </c>
      <c r="T5">
        <v>0</v>
      </c>
      <c r="V5">
        <v>0</v>
      </c>
      <c r="AF5">
        <v>120598</v>
      </c>
      <c r="AG5">
        <v>28660</v>
      </c>
      <c r="AH5">
        <v>898177</v>
      </c>
      <c r="AI5" s="1">
        <v>318408</v>
      </c>
      <c r="AJ5" t="s">
        <v>94</v>
      </c>
      <c r="AK5">
        <v>0</v>
      </c>
      <c r="AP5" t="s">
        <v>79</v>
      </c>
      <c r="AQ5">
        <v>1</v>
      </c>
      <c r="AR5">
        <v>1</v>
      </c>
      <c r="AT5">
        <v>77</v>
      </c>
      <c r="AU5">
        <v>77</v>
      </c>
      <c r="AV5">
        <v>0</v>
      </c>
      <c r="AW5" s="1">
        <v>88510</v>
      </c>
      <c r="AX5">
        <v>0</v>
      </c>
      <c r="AY5">
        <v>0</v>
      </c>
      <c r="AZ5">
        <v>0</v>
      </c>
      <c r="BA5">
        <v>0</v>
      </c>
      <c r="BB5">
        <v>0</v>
      </c>
      <c r="BC5">
        <v>0</v>
      </c>
      <c r="BI5" s="1">
        <v>3024</v>
      </c>
      <c r="BO5" t="s">
        <v>84</v>
      </c>
      <c r="BQ5" t="s">
        <v>93</v>
      </c>
      <c r="BR5" s="2">
        <v>46249.705347222225</v>
      </c>
    </row>
    <row r="6" spans="1:70">
      <c r="A6" t="s">
        <v>95</v>
      </c>
      <c r="B6" t="s">
        <v>71</v>
      </c>
      <c r="C6">
        <v>404</v>
      </c>
      <c r="E6" t="s">
        <v>87</v>
      </c>
      <c r="F6" t="s">
        <v>88</v>
      </c>
      <c r="H6">
        <v>0</v>
      </c>
      <c r="I6">
        <v>0</v>
      </c>
      <c r="K6">
        <v>0</v>
      </c>
      <c r="L6">
        <v>0</v>
      </c>
      <c r="N6">
        <v>0</v>
      </c>
      <c r="P6">
        <v>0</v>
      </c>
      <c r="R6">
        <v>0</v>
      </c>
      <c r="T6">
        <v>0</v>
      </c>
      <c r="V6">
        <v>0</v>
      </c>
      <c r="AF6">
        <v>120598</v>
      </c>
      <c r="AG6">
        <v>28666</v>
      </c>
      <c r="AH6">
        <v>898189</v>
      </c>
      <c r="AI6" s="1">
        <v>318412</v>
      </c>
      <c r="AJ6" t="s">
        <v>94</v>
      </c>
      <c r="AK6">
        <v>0</v>
      </c>
      <c r="AP6" t="s">
        <v>79</v>
      </c>
      <c r="AQ6">
        <v>1</v>
      </c>
      <c r="AR6">
        <v>1</v>
      </c>
      <c r="AT6">
        <v>1</v>
      </c>
      <c r="AU6">
        <v>1</v>
      </c>
      <c r="AV6">
        <v>0</v>
      </c>
      <c r="AW6" s="1">
        <v>1150</v>
      </c>
      <c r="AX6">
        <v>0</v>
      </c>
      <c r="AY6">
        <v>0</v>
      </c>
      <c r="AZ6">
        <v>0</v>
      </c>
      <c r="BA6">
        <v>0</v>
      </c>
      <c r="BB6">
        <v>0</v>
      </c>
      <c r="BC6">
        <v>0</v>
      </c>
      <c r="BI6" s="1">
        <v>3661</v>
      </c>
      <c r="BO6" t="s">
        <v>84</v>
      </c>
      <c r="BQ6" t="s">
        <v>95</v>
      </c>
      <c r="BR6" s="2">
        <v>46249.705358796295</v>
      </c>
    </row>
    <row r="7" spans="1:70">
      <c r="A7" t="s">
        <v>96</v>
      </c>
      <c r="B7" t="s">
        <v>71</v>
      </c>
      <c r="C7">
        <v>200</v>
      </c>
      <c r="E7" t="s">
        <v>72</v>
      </c>
      <c r="G7" t="s">
        <v>97</v>
      </c>
      <c r="H7">
        <v>32</v>
      </c>
      <c r="I7">
        <v>322</v>
      </c>
      <c r="K7">
        <v>0</v>
      </c>
      <c r="L7">
        <v>0</v>
      </c>
      <c r="N7">
        <v>0</v>
      </c>
      <c r="O7" t="s">
        <v>98</v>
      </c>
      <c r="P7">
        <v>57</v>
      </c>
      <c r="R7">
        <v>0</v>
      </c>
      <c r="S7" t="s">
        <v>99</v>
      </c>
      <c r="T7">
        <v>62</v>
      </c>
      <c r="U7" t="s">
        <v>100</v>
      </c>
      <c r="V7">
        <v>31</v>
      </c>
      <c r="W7" t="s">
        <v>77</v>
      </c>
      <c r="Z7" t="s">
        <v>96</v>
      </c>
      <c r="AF7">
        <v>175545</v>
      </c>
      <c r="AG7">
        <v>38335</v>
      </c>
      <c r="AH7">
        <v>3734312</v>
      </c>
      <c r="AI7" s="1">
        <v>1323832</v>
      </c>
      <c r="AJ7" t="s">
        <v>78</v>
      </c>
      <c r="AK7">
        <v>943</v>
      </c>
      <c r="AL7">
        <v>197</v>
      </c>
      <c r="AM7" s="1">
        <v>4787</v>
      </c>
      <c r="AN7" s="1">
        <v>13847</v>
      </c>
      <c r="AO7" t="s">
        <v>80</v>
      </c>
      <c r="AP7" s="1">
        <v>3382</v>
      </c>
      <c r="AQ7">
        <v>1</v>
      </c>
      <c r="AR7">
        <v>1</v>
      </c>
      <c r="AT7">
        <v>334</v>
      </c>
      <c r="AU7">
        <v>77</v>
      </c>
      <c r="AV7">
        <v>80</v>
      </c>
      <c r="AW7" s="1">
        <v>88510</v>
      </c>
      <c r="AX7">
        <v>139</v>
      </c>
      <c r="AY7">
        <v>30</v>
      </c>
      <c r="AZ7">
        <v>1</v>
      </c>
      <c r="BA7">
        <v>17</v>
      </c>
      <c r="BB7">
        <v>9</v>
      </c>
      <c r="BC7">
        <v>4</v>
      </c>
      <c r="BH7" t="s">
        <v>101</v>
      </c>
      <c r="BI7" t="s">
        <v>102</v>
      </c>
      <c r="BJ7" t="s">
        <v>103</v>
      </c>
      <c r="BN7" t="s">
        <v>83</v>
      </c>
      <c r="BO7" t="s">
        <v>104</v>
      </c>
      <c r="BQ7" t="s">
        <v>96</v>
      </c>
      <c r="BR7" s="2">
        <v>46249.705335648148</v>
      </c>
    </row>
    <row r="8" spans="1:70">
      <c r="A8" t="s">
        <v>105</v>
      </c>
      <c r="B8" t="s">
        <v>71</v>
      </c>
      <c r="C8">
        <v>200</v>
      </c>
      <c r="E8" t="s">
        <v>72</v>
      </c>
      <c r="G8" t="s">
        <v>106</v>
      </c>
      <c r="H8">
        <v>30</v>
      </c>
      <c r="I8">
        <v>303</v>
      </c>
      <c r="K8">
        <v>0</v>
      </c>
      <c r="L8">
        <v>0</v>
      </c>
      <c r="N8">
        <v>0</v>
      </c>
      <c r="O8" t="s">
        <v>107</v>
      </c>
      <c r="P8">
        <v>86</v>
      </c>
      <c r="R8">
        <v>0</v>
      </c>
      <c r="S8" t="s">
        <v>108</v>
      </c>
      <c r="T8">
        <v>57</v>
      </c>
      <c r="U8" t="s">
        <v>109</v>
      </c>
      <c r="V8">
        <v>31</v>
      </c>
      <c r="W8" t="s">
        <v>77</v>
      </c>
      <c r="Z8" t="s">
        <v>105</v>
      </c>
      <c r="AF8">
        <v>215138</v>
      </c>
      <c r="AG8">
        <v>46196</v>
      </c>
      <c r="AH8">
        <v>2434454</v>
      </c>
      <c r="AI8" s="1">
        <v>863026</v>
      </c>
      <c r="AJ8" t="s">
        <v>78</v>
      </c>
      <c r="AK8">
        <v>1532</v>
      </c>
      <c r="AL8">
        <v>289</v>
      </c>
      <c r="AM8" s="1">
        <v>5301</v>
      </c>
      <c r="AN8" s="1">
        <v>10221</v>
      </c>
      <c r="AO8" t="s">
        <v>80</v>
      </c>
      <c r="AP8" s="1">
        <v>4366</v>
      </c>
      <c r="AQ8">
        <v>1</v>
      </c>
      <c r="AR8">
        <v>1</v>
      </c>
      <c r="AT8">
        <v>332</v>
      </c>
      <c r="AU8">
        <v>77</v>
      </c>
      <c r="AV8">
        <v>76</v>
      </c>
      <c r="AW8" s="1">
        <v>88510</v>
      </c>
      <c r="AX8">
        <v>165</v>
      </c>
      <c r="AY8">
        <v>54</v>
      </c>
      <c r="AZ8">
        <v>0</v>
      </c>
      <c r="BA8">
        <v>23</v>
      </c>
      <c r="BB8">
        <v>13</v>
      </c>
      <c r="BC8">
        <v>8</v>
      </c>
      <c r="BH8" t="s">
        <v>110</v>
      </c>
      <c r="BI8" t="s">
        <v>111</v>
      </c>
      <c r="BJ8" t="s">
        <v>112</v>
      </c>
      <c r="BN8" t="s">
        <v>83</v>
      </c>
      <c r="BO8" t="s">
        <v>84</v>
      </c>
      <c r="BQ8" t="s">
        <v>105</v>
      </c>
      <c r="BR8" s="2">
        <v>46249.705358796295</v>
      </c>
    </row>
    <row r="9" spans="1:70">
      <c r="A9" t="s">
        <v>113</v>
      </c>
      <c r="B9" t="s">
        <v>71</v>
      </c>
      <c r="C9">
        <v>200</v>
      </c>
      <c r="E9" t="s">
        <v>72</v>
      </c>
      <c r="G9" t="s">
        <v>114</v>
      </c>
      <c r="H9">
        <v>26</v>
      </c>
      <c r="I9">
        <v>251</v>
      </c>
      <c r="K9">
        <v>0</v>
      </c>
      <c r="L9">
        <v>0</v>
      </c>
      <c r="N9">
        <v>0</v>
      </c>
      <c r="O9" t="s">
        <v>115</v>
      </c>
      <c r="P9">
        <v>51</v>
      </c>
      <c r="R9">
        <v>0</v>
      </c>
      <c r="S9" t="s">
        <v>116</v>
      </c>
      <c r="T9">
        <v>81</v>
      </c>
      <c r="U9" t="s">
        <v>117</v>
      </c>
      <c r="V9">
        <v>33</v>
      </c>
      <c r="W9" t="s">
        <v>77</v>
      </c>
      <c r="Z9" t="s">
        <v>113</v>
      </c>
      <c r="AF9">
        <v>178267</v>
      </c>
      <c r="AG9">
        <v>41064</v>
      </c>
      <c r="AH9">
        <v>2369801</v>
      </c>
      <c r="AI9" s="1">
        <v>840106</v>
      </c>
      <c r="AJ9" t="s">
        <v>118</v>
      </c>
      <c r="AK9">
        <v>1700</v>
      </c>
      <c r="AL9">
        <v>287</v>
      </c>
      <c r="AM9" s="1">
        <v>5923</v>
      </c>
      <c r="AN9" t="s">
        <v>79</v>
      </c>
      <c r="AO9" t="s">
        <v>80</v>
      </c>
      <c r="AP9" s="1">
        <v>5997</v>
      </c>
      <c r="AQ9">
        <v>1</v>
      </c>
      <c r="AR9">
        <v>1</v>
      </c>
      <c r="AT9">
        <v>107</v>
      </c>
      <c r="AU9">
        <v>77</v>
      </c>
      <c r="AV9">
        <v>2</v>
      </c>
      <c r="AW9" s="1">
        <v>88510</v>
      </c>
      <c r="AX9">
        <v>134</v>
      </c>
      <c r="AY9">
        <v>29</v>
      </c>
      <c r="AZ9">
        <v>0</v>
      </c>
      <c r="BA9">
        <v>14</v>
      </c>
      <c r="BB9">
        <v>8</v>
      </c>
      <c r="BC9">
        <v>3</v>
      </c>
      <c r="BH9" t="s">
        <v>119</v>
      </c>
      <c r="BI9" s="1">
        <v>3159</v>
      </c>
      <c r="BJ9" t="s">
        <v>120</v>
      </c>
      <c r="BN9" t="s">
        <v>83</v>
      </c>
      <c r="BO9" t="s">
        <v>84</v>
      </c>
      <c r="BQ9" t="s">
        <v>113</v>
      </c>
      <c r="BR9" s="2">
        <v>46249.705347222225</v>
      </c>
    </row>
    <row r="10" spans="1:70">
      <c r="A10" t="s">
        <v>121</v>
      </c>
      <c r="B10" t="s">
        <v>71</v>
      </c>
      <c r="C10">
        <v>200</v>
      </c>
      <c r="E10" t="s">
        <v>72</v>
      </c>
      <c r="G10" t="s">
        <v>122</v>
      </c>
      <c r="H10">
        <v>25</v>
      </c>
      <c r="I10">
        <v>243</v>
      </c>
      <c r="K10">
        <v>0</v>
      </c>
      <c r="L10">
        <v>0</v>
      </c>
      <c r="N10">
        <v>0</v>
      </c>
      <c r="O10" t="s">
        <v>123</v>
      </c>
      <c r="P10">
        <v>50</v>
      </c>
      <c r="R10">
        <v>0</v>
      </c>
      <c r="S10" t="s">
        <v>124</v>
      </c>
      <c r="T10">
        <v>91</v>
      </c>
      <c r="U10" t="s">
        <v>117</v>
      </c>
      <c r="V10">
        <v>33</v>
      </c>
      <c r="W10" t="s">
        <v>77</v>
      </c>
      <c r="Z10" t="s">
        <v>121</v>
      </c>
      <c r="AF10">
        <v>176891</v>
      </c>
      <c r="AG10">
        <v>40040</v>
      </c>
      <c r="AH10">
        <v>2371646</v>
      </c>
      <c r="AI10" s="1">
        <v>840760</v>
      </c>
      <c r="AJ10" t="s">
        <v>118</v>
      </c>
      <c r="AK10">
        <v>1278</v>
      </c>
      <c r="AL10">
        <v>220</v>
      </c>
      <c r="AM10" s="1">
        <v>5809</v>
      </c>
      <c r="AN10" t="s">
        <v>79</v>
      </c>
      <c r="AO10" t="s">
        <v>80</v>
      </c>
      <c r="AP10" s="1">
        <v>4702</v>
      </c>
      <c r="AQ10">
        <v>1</v>
      </c>
      <c r="AR10">
        <v>1</v>
      </c>
      <c r="AT10">
        <v>99</v>
      </c>
      <c r="AU10">
        <v>77</v>
      </c>
      <c r="AV10">
        <v>1</v>
      </c>
      <c r="AW10" s="1">
        <v>88510</v>
      </c>
      <c r="AX10">
        <v>136</v>
      </c>
      <c r="AY10">
        <v>29</v>
      </c>
      <c r="AZ10">
        <v>1</v>
      </c>
      <c r="BA10">
        <v>12</v>
      </c>
      <c r="BB10">
        <v>8</v>
      </c>
      <c r="BC10">
        <v>3</v>
      </c>
      <c r="BH10" t="s">
        <v>125</v>
      </c>
      <c r="BI10" t="s">
        <v>126</v>
      </c>
      <c r="BJ10" t="s">
        <v>127</v>
      </c>
      <c r="BN10" t="s">
        <v>83</v>
      </c>
      <c r="BO10" t="s">
        <v>104</v>
      </c>
      <c r="BQ10" t="s">
        <v>121</v>
      </c>
      <c r="BR10" s="2">
        <v>46249.705451388887</v>
      </c>
    </row>
    <row r="11" spans="1:70">
      <c r="A11" t="s">
        <v>128</v>
      </c>
      <c r="B11" t="s">
        <v>71</v>
      </c>
      <c r="C11">
        <v>200</v>
      </c>
      <c r="E11" t="s">
        <v>72</v>
      </c>
      <c r="G11" t="s">
        <v>129</v>
      </c>
      <c r="H11">
        <v>37</v>
      </c>
      <c r="I11">
        <v>366</v>
      </c>
      <c r="K11">
        <v>0</v>
      </c>
      <c r="L11">
        <v>0</v>
      </c>
      <c r="N11">
        <v>0</v>
      </c>
      <c r="O11" t="s">
        <v>130</v>
      </c>
      <c r="P11">
        <v>53</v>
      </c>
      <c r="R11">
        <v>0</v>
      </c>
      <c r="S11" t="s">
        <v>131</v>
      </c>
      <c r="T11">
        <v>61</v>
      </c>
      <c r="U11" t="s">
        <v>132</v>
      </c>
      <c r="V11">
        <v>27</v>
      </c>
      <c r="W11" t="s">
        <v>77</v>
      </c>
      <c r="Z11" t="s">
        <v>128</v>
      </c>
      <c r="AF11">
        <v>223170</v>
      </c>
      <c r="AG11">
        <v>47024</v>
      </c>
      <c r="AH11">
        <v>2345517</v>
      </c>
      <c r="AI11" s="1">
        <v>831498</v>
      </c>
      <c r="AJ11" t="s">
        <v>118</v>
      </c>
      <c r="AK11">
        <v>1306</v>
      </c>
      <c r="AL11">
        <v>237</v>
      </c>
      <c r="AM11" s="1">
        <v>5511</v>
      </c>
      <c r="AN11" s="1">
        <v>23038</v>
      </c>
      <c r="AO11" t="s">
        <v>80</v>
      </c>
      <c r="AP11" s="1">
        <v>3700</v>
      </c>
      <c r="AQ11">
        <v>1</v>
      </c>
      <c r="AR11">
        <v>1</v>
      </c>
      <c r="AT11">
        <v>333</v>
      </c>
      <c r="AU11">
        <v>77</v>
      </c>
      <c r="AV11">
        <v>76</v>
      </c>
      <c r="AW11" s="1">
        <v>88510</v>
      </c>
      <c r="AX11">
        <v>129</v>
      </c>
      <c r="AY11">
        <v>29</v>
      </c>
      <c r="AZ11">
        <v>1</v>
      </c>
      <c r="BA11">
        <v>16</v>
      </c>
      <c r="BB11">
        <v>8</v>
      </c>
      <c r="BC11">
        <v>3</v>
      </c>
      <c r="BH11" t="s">
        <v>133</v>
      </c>
      <c r="BI11" t="s">
        <v>134</v>
      </c>
      <c r="BJ11" t="s">
        <v>135</v>
      </c>
      <c r="BN11" t="s">
        <v>83</v>
      </c>
      <c r="BO11" t="s">
        <v>104</v>
      </c>
      <c r="BQ11" t="s">
        <v>128</v>
      </c>
      <c r="BR11" s="2">
        <v>46249.705462962964</v>
      </c>
    </row>
    <row r="12" spans="1:70">
      <c r="A12" t="s">
        <v>136</v>
      </c>
      <c r="B12" t="s">
        <v>71</v>
      </c>
      <c r="C12">
        <v>200</v>
      </c>
      <c r="E12" t="s">
        <v>72</v>
      </c>
      <c r="G12" t="s">
        <v>137</v>
      </c>
      <c r="H12">
        <v>35</v>
      </c>
      <c r="I12">
        <v>352</v>
      </c>
      <c r="K12">
        <v>0</v>
      </c>
      <c r="L12">
        <v>0</v>
      </c>
      <c r="N12">
        <v>0</v>
      </c>
      <c r="O12" t="s">
        <v>138</v>
      </c>
      <c r="P12">
        <v>45</v>
      </c>
      <c r="R12">
        <v>0</v>
      </c>
      <c r="S12" t="s">
        <v>139</v>
      </c>
      <c r="T12">
        <v>67</v>
      </c>
      <c r="U12" t="s">
        <v>140</v>
      </c>
      <c r="V12">
        <v>43</v>
      </c>
      <c r="W12" t="s">
        <v>77</v>
      </c>
      <c r="Z12" t="s">
        <v>136</v>
      </c>
      <c r="AF12">
        <v>166543</v>
      </c>
      <c r="AG12">
        <v>37187</v>
      </c>
      <c r="AH12">
        <v>13809173</v>
      </c>
      <c r="AI12" s="1">
        <v>4895421</v>
      </c>
      <c r="AJ12" t="s">
        <v>78</v>
      </c>
      <c r="AK12">
        <v>668</v>
      </c>
      <c r="AL12">
        <v>142</v>
      </c>
      <c r="AM12" s="1">
        <v>4704</v>
      </c>
      <c r="AN12" t="s">
        <v>79</v>
      </c>
      <c r="AO12" t="s">
        <v>80</v>
      </c>
      <c r="AP12" s="1">
        <v>2946</v>
      </c>
      <c r="AQ12">
        <v>1</v>
      </c>
      <c r="AR12">
        <v>1</v>
      </c>
      <c r="AT12">
        <v>323</v>
      </c>
      <c r="AU12">
        <v>77</v>
      </c>
      <c r="AV12">
        <v>76</v>
      </c>
      <c r="AW12" s="1">
        <v>88510</v>
      </c>
      <c r="AX12">
        <v>132</v>
      </c>
      <c r="AY12">
        <v>31</v>
      </c>
      <c r="AZ12">
        <v>1</v>
      </c>
      <c r="BA12">
        <v>15</v>
      </c>
      <c r="BB12">
        <v>8</v>
      </c>
      <c r="BC12">
        <v>3</v>
      </c>
      <c r="BH12" t="s">
        <v>141</v>
      </c>
      <c r="BI12" t="s">
        <v>142</v>
      </c>
      <c r="BJ12" t="s">
        <v>143</v>
      </c>
      <c r="BN12" t="s">
        <v>83</v>
      </c>
      <c r="BO12" t="s">
        <v>104</v>
      </c>
      <c r="BQ12" t="s">
        <v>136</v>
      </c>
      <c r="BR12" s="2">
        <v>46249.705520833333</v>
      </c>
    </row>
    <row r="13" spans="1:70">
      <c r="A13" t="s">
        <v>144</v>
      </c>
      <c r="B13" t="s">
        <v>71</v>
      </c>
      <c r="C13">
        <v>200</v>
      </c>
      <c r="E13" t="s">
        <v>72</v>
      </c>
      <c r="G13" t="s">
        <v>145</v>
      </c>
      <c r="H13">
        <v>26</v>
      </c>
      <c r="I13">
        <v>263</v>
      </c>
      <c r="K13">
        <v>0</v>
      </c>
      <c r="L13">
        <v>0</v>
      </c>
      <c r="N13">
        <v>0</v>
      </c>
      <c r="O13" t="s">
        <v>146</v>
      </c>
      <c r="P13">
        <v>36</v>
      </c>
      <c r="R13">
        <v>0</v>
      </c>
      <c r="S13" t="s">
        <v>147</v>
      </c>
      <c r="T13">
        <v>82</v>
      </c>
      <c r="U13" t="s">
        <v>148</v>
      </c>
      <c r="V13">
        <v>48</v>
      </c>
      <c r="W13" t="s">
        <v>77</v>
      </c>
      <c r="Z13" t="s">
        <v>144</v>
      </c>
      <c r="AF13">
        <v>155013</v>
      </c>
      <c r="AG13">
        <v>35332</v>
      </c>
      <c r="AH13">
        <v>2683647</v>
      </c>
      <c r="AI13" s="1">
        <v>951366</v>
      </c>
      <c r="AJ13" t="s">
        <v>78</v>
      </c>
      <c r="AK13">
        <v>346</v>
      </c>
      <c r="AL13">
        <v>77</v>
      </c>
      <c r="AM13" s="1">
        <v>4494</v>
      </c>
      <c r="AN13" t="s">
        <v>79</v>
      </c>
      <c r="AO13" t="s">
        <v>80</v>
      </c>
      <c r="AP13" s="1">
        <v>2056</v>
      </c>
      <c r="AQ13">
        <v>1</v>
      </c>
      <c r="AR13">
        <v>1</v>
      </c>
      <c r="AT13">
        <v>316</v>
      </c>
      <c r="AU13">
        <v>77</v>
      </c>
      <c r="AV13">
        <v>76</v>
      </c>
      <c r="AW13" s="1">
        <v>88510</v>
      </c>
      <c r="AX13">
        <v>127</v>
      </c>
      <c r="AY13">
        <v>28</v>
      </c>
      <c r="AZ13">
        <v>0</v>
      </c>
      <c r="BA13">
        <v>8</v>
      </c>
      <c r="BB13">
        <v>7</v>
      </c>
      <c r="BC13">
        <v>2</v>
      </c>
      <c r="BH13" t="s">
        <v>149</v>
      </c>
      <c r="BI13" t="s">
        <v>150</v>
      </c>
      <c r="BJ13" t="s">
        <v>151</v>
      </c>
      <c r="BN13" t="s">
        <v>83</v>
      </c>
      <c r="BO13" t="s">
        <v>104</v>
      </c>
      <c r="BQ13" t="s">
        <v>144</v>
      </c>
      <c r="BR13" s="2">
        <v>46249.705636574072</v>
      </c>
    </row>
    <row r="14" spans="1:70">
      <c r="A14" t="s">
        <v>152</v>
      </c>
      <c r="B14" t="s">
        <v>71</v>
      </c>
      <c r="C14">
        <v>404</v>
      </c>
      <c r="E14" t="s">
        <v>87</v>
      </c>
      <c r="F14" t="s">
        <v>88</v>
      </c>
      <c r="H14">
        <v>0</v>
      </c>
      <c r="I14">
        <v>0</v>
      </c>
      <c r="K14">
        <v>0</v>
      </c>
      <c r="L14">
        <v>0</v>
      </c>
      <c r="N14">
        <v>0</v>
      </c>
      <c r="P14">
        <v>0</v>
      </c>
      <c r="R14">
        <v>0</v>
      </c>
      <c r="T14">
        <v>0</v>
      </c>
      <c r="V14">
        <v>0</v>
      </c>
      <c r="AF14">
        <v>0</v>
      </c>
      <c r="AG14">
        <v>40486</v>
      </c>
      <c r="AH14">
        <v>40486</v>
      </c>
      <c r="AI14" s="1">
        <v>14352</v>
      </c>
      <c r="AJ14" t="s">
        <v>89</v>
      </c>
      <c r="AK14">
        <v>0</v>
      </c>
      <c r="AP14" t="s">
        <v>79</v>
      </c>
      <c r="AQ14">
        <v>2</v>
      </c>
      <c r="AR14">
        <v>1</v>
      </c>
      <c r="AT14">
        <v>0</v>
      </c>
      <c r="AU14">
        <v>0</v>
      </c>
      <c r="AV14">
        <v>0</v>
      </c>
      <c r="AW14" t="s">
        <v>79</v>
      </c>
      <c r="AX14">
        <v>0</v>
      </c>
      <c r="AY14">
        <v>0</v>
      </c>
      <c r="AZ14">
        <v>0</v>
      </c>
      <c r="BA14">
        <v>0</v>
      </c>
      <c r="BB14">
        <v>0</v>
      </c>
      <c r="BC14">
        <v>0</v>
      </c>
      <c r="BI14" s="1">
        <v>6309</v>
      </c>
      <c r="BO14" t="s">
        <v>104</v>
      </c>
      <c r="BQ14" t="s">
        <v>152</v>
      </c>
      <c r="BR14" s="2">
        <v>46249.705671296295</v>
      </c>
    </row>
    <row r="15" spans="1:70">
      <c r="A15" t="s">
        <v>153</v>
      </c>
      <c r="B15" t="s">
        <v>71</v>
      </c>
      <c r="C15">
        <v>404</v>
      </c>
      <c r="E15" t="s">
        <v>87</v>
      </c>
      <c r="F15" t="s">
        <v>88</v>
      </c>
      <c r="H15">
        <v>0</v>
      </c>
      <c r="I15">
        <v>0</v>
      </c>
      <c r="K15">
        <v>0</v>
      </c>
      <c r="L15">
        <v>0</v>
      </c>
      <c r="N15">
        <v>0</v>
      </c>
      <c r="P15">
        <v>0</v>
      </c>
      <c r="R15">
        <v>0</v>
      </c>
      <c r="T15">
        <v>0</v>
      </c>
      <c r="V15">
        <v>0</v>
      </c>
      <c r="AF15">
        <v>0</v>
      </c>
      <c r="AG15">
        <v>120313</v>
      </c>
      <c r="AH15">
        <v>120313</v>
      </c>
      <c r="AI15" s="1">
        <v>42652</v>
      </c>
      <c r="AJ15" t="s">
        <v>89</v>
      </c>
      <c r="AK15">
        <v>0</v>
      </c>
      <c r="AP15" t="s">
        <v>79</v>
      </c>
      <c r="AQ15">
        <v>2</v>
      </c>
      <c r="AR15">
        <v>1</v>
      </c>
      <c r="AT15">
        <v>0</v>
      </c>
      <c r="AU15">
        <v>0</v>
      </c>
      <c r="AV15">
        <v>0</v>
      </c>
      <c r="AW15" t="s">
        <v>79</v>
      </c>
      <c r="AX15">
        <v>0</v>
      </c>
      <c r="AY15">
        <v>0</v>
      </c>
      <c r="AZ15">
        <v>0</v>
      </c>
      <c r="BA15">
        <v>0</v>
      </c>
      <c r="BB15">
        <v>0</v>
      </c>
      <c r="BC15">
        <v>0</v>
      </c>
      <c r="BI15" s="1">
        <v>4907</v>
      </c>
      <c r="BO15" t="s">
        <v>104</v>
      </c>
      <c r="BQ15" t="s">
        <v>153</v>
      </c>
      <c r="BR15" s="2">
        <v>46249.705659722225</v>
      </c>
    </row>
    <row r="16" spans="1:70">
      <c r="A16" t="s">
        <v>154</v>
      </c>
      <c r="B16" t="s">
        <v>71</v>
      </c>
      <c r="C16">
        <v>404</v>
      </c>
      <c r="E16" t="s">
        <v>87</v>
      </c>
      <c r="F16" t="s">
        <v>88</v>
      </c>
      <c r="H16">
        <v>0</v>
      </c>
      <c r="I16">
        <v>0</v>
      </c>
      <c r="K16">
        <v>0</v>
      </c>
      <c r="L16">
        <v>0</v>
      </c>
      <c r="N16">
        <v>0</v>
      </c>
      <c r="P16">
        <v>0</v>
      </c>
      <c r="R16">
        <v>0</v>
      </c>
      <c r="T16">
        <v>0</v>
      </c>
      <c r="V16">
        <v>0</v>
      </c>
      <c r="AF16">
        <v>0</v>
      </c>
      <c r="AG16">
        <v>34850</v>
      </c>
      <c r="AH16">
        <v>34850</v>
      </c>
      <c r="AI16" s="1">
        <v>12354</v>
      </c>
      <c r="AJ16" t="s">
        <v>89</v>
      </c>
      <c r="AK16">
        <v>0</v>
      </c>
      <c r="AP16" t="s">
        <v>79</v>
      </c>
      <c r="AQ16">
        <v>2</v>
      </c>
      <c r="AR16">
        <v>1</v>
      </c>
      <c r="AT16">
        <v>0</v>
      </c>
      <c r="AU16">
        <v>0</v>
      </c>
      <c r="AV16">
        <v>0</v>
      </c>
      <c r="AW16" t="s">
        <v>79</v>
      </c>
      <c r="AX16">
        <v>0</v>
      </c>
      <c r="AY16">
        <v>0</v>
      </c>
      <c r="AZ16">
        <v>0</v>
      </c>
      <c r="BA16">
        <v>0</v>
      </c>
      <c r="BB16">
        <v>0</v>
      </c>
      <c r="BC16">
        <v>0</v>
      </c>
      <c r="BI16" s="1">
        <v>6139</v>
      </c>
      <c r="BO16" t="s">
        <v>104</v>
      </c>
      <c r="BQ16" t="s">
        <v>154</v>
      </c>
      <c r="BR16" s="2">
        <v>46249.705671296295</v>
      </c>
    </row>
    <row r="17" spans="1:70">
      <c r="A17" t="s">
        <v>155</v>
      </c>
      <c r="B17" t="s">
        <v>71</v>
      </c>
      <c r="C17">
        <v>404</v>
      </c>
      <c r="E17" t="s">
        <v>87</v>
      </c>
      <c r="F17" t="s">
        <v>88</v>
      </c>
      <c r="H17">
        <v>0</v>
      </c>
      <c r="I17">
        <v>0</v>
      </c>
      <c r="K17">
        <v>0</v>
      </c>
      <c r="L17">
        <v>0</v>
      </c>
      <c r="N17">
        <v>0</v>
      </c>
      <c r="P17">
        <v>0</v>
      </c>
      <c r="R17">
        <v>0</v>
      </c>
      <c r="T17">
        <v>0</v>
      </c>
      <c r="V17">
        <v>0</v>
      </c>
      <c r="AF17">
        <v>0</v>
      </c>
      <c r="AG17">
        <v>120307</v>
      </c>
      <c r="AH17">
        <v>120307</v>
      </c>
      <c r="AI17" s="1">
        <v>42649</v>
      </c>
      <c r="AJ17" t="s">
        <v>89</v>
      </c>
      <c r="AK17">
        <v>0</v>
      </c>
      <c r="AP17" t="s">
        <v>79</v>
      </c>
      <c r="AQ17">
        <v>2</v>
      </c>
      <c r="AR17">
        <v>1</v>
      </c>
      <c r="AT17">
        <v>0</v>
      </c>
      <c r="AU17">
        <v>0</v>
      </c>
      <c r="AV17">
        <v>0</v>
      </c>
      <c r="AW17" t="s">
        <v>79</v>
      </c>
      <c r="AX17">
        <v>0</v>
      </c>
      <c r="AY17">
        <v>0</v>
      </c>
      <c r="AZ17">
        <v>0</v>
      </c>
      <c r="BA17">
        <v>0</v>
      </c>
      <c r="BB17">
        <v>0</v>
      </c>
      <c r="BC17">
        <v>0</v>
      </c>
      <c r="BI17" s="1">
        <v>4039</v>
      </c>
      <c r="BO17" t="s">
        <v>104</v>
      </c>
      <c r="BQ17" t="s">
        <v>155</v>
      </c>
      <c r="BR17" s="2">
        <v>46249.705648148149</v>
      </c>
    </row>
    <row r="18" spans="1:70">
      <c r="A18" t="s">
        <v>156</v>
      </c>
      <c r="B18" t="s">
        <v>71</v>
      </c>
      <c r="C18">
        <v>404</v>
      </c>
      <c r="E18" t="s">
        <v>87</v>
      </c>
      <c r="F18" t="s">
        <v>88</v>
      </c>
      <c r="H18">
        <v>0</v>
      </c>
      <c r="I18">
        <v>0</v>
      </c>
      <c r="K18">
        <v>0</v>
      </c>
      <c r="L18">
        <v>0</v>
      </c>
      <c r="N18">
        <v>0</v>
      </c>
      <c r="P18">
        <v>0</v>
      </c>
      <c r="R18">
        <v>0</v>
      </c>
      <c r="T18">
        <v>0</v>
      </c>
      <c r="V18">
        <v>0</v>
      </c>
      <c r="AF18">
        <v>0</v>
      </c>
      <c r="AG18">
        <v>8123</v>
      </c>
      <c r="AH18">
        <v>8123</v>
      </c>
      <c r="AI18" s="1">
        <v>2880</v>
      </c>
      <c r="AJ18" t="s">
        <v>89</v>
      </c>
      <c r="AK18">
        <v>0</v>
      </c>
      <c r="AP18" t="s">
        <v>79</v>
      </c>
      <c r="AQ18">
        <v>2</v>
      </c>
      <c r="AR18">
        <v>1</v>
      </c>
      <c r="AT18">
        <v>0</v>
      </c>
      <c r="AU18">
        <v>0</v>
      </c>
      <c r="AV18">
        <v>0</v>
      </c>
      <c r="AW18" t="s">
        <v>79</v>
      </c>
      <c r="AX18">
        <v>0</v>
      </c>
      <c r="AY18">
        <v>0</v>
      </c>
      <c r="AZ18">
        <v>0</v>
      </c>
      <c r="BA18">
        <v>0</v>
      </c>
      <c r="BB18">
        <v>0</v>
      </c>
      <c r="BC18">
        <v>0</v>
      </c>
      <c r="BI18" s="1">
        <v>6158</v>
      </c>
      <c r="BO18" t="s">
        <v>104</v>
      </c>
      <c r="BQ18" t="s">
        <v>156</v>
      </c>
      <c r="BR18" s="2">
        <v>46249.705671296295</v>
      </c>
    </row>
    <row r="19" spans="1:70">
      <c r="A19" t="s">
        <v>157</v>
      </c>
      <c r="B19" t="s">
        <v>71</v>
      </c>
      <c r="C19">
        <v>200</v>
      </c>
      <c r="E19" t="s">
        <v>72</v>
      </c>
      <c r="G19" t="s">
        <v>158</v>
      </c>
      <c r="H19">
        <v>36</v>
      </c>
      <c r="I19">
        <v>369</v>
      </c>
      <c r="K19">
        <v>0</v>
      </c>
      <c r="L19">
        <v>0</v>
      </c>
      <c r="N19">
        <v>0</v>
      </c>
      <c r="O19" t="s">
        <v>159</v>
      </c>
      <c r="P19">
        <v>46</v>
      </c>
      <c r="R19">
        <v>0</v>
      </c>
      <c r="S19" t="s">
        <v>160</v>
      </c>
      <c r="T19">
        <v>75</v>
      </c>
      <c r="U19" t="s">
        <v>161</v>
      </c>
      <c r="V19">
        <v>52</v>
      </c>
      <c r="W19" t="s">
        <v>77</v>
      </c>
      <c r="Z19" t="s">
        <v>157</v>
      </c>
      <c r="AF19">
        <v>154131</v>
      </c>
      <c r="AG19">
        <v>35009</v>
      </c>
      <c r="AH19">
        <v>2359730</v>
      </c>
      <c r="AI19" s="1">
        <v>836536</v>
      </c>
      <c r="AJ19" t="s">
        <v>118</v>
      </c>
      <c r="AK19">
        <v>458</v>
      </c>
      <c r="AL19">
        <v>131</v>
      </c>
      <c r="AM19" s="1">
        <v>3496</v>
      </c>
      <c r="AN19" s="1">
        <v>11366</v>
      </c>
      <c r="AO19" t="s">
        <v>80</v>
      </c>
      <c r="AP19" s="1">
        <v>2383</v>
      </c>
      <c r="AQ19">
        <v>1</v>
      </c>
      <c r="AR19">
        <v>1</v>
      </c>
      <c r="AT19">
        <v>316</v>
      </c>
      <c r="AU19">
        <v>77</v>
      </c>
      <c r="AV19">
        <v>76</v>
      </c>
      <c r="AW19" s="1">
        <v>88510</v>
      </c>
      <c r="AX19">
        <v>127</v>
      </c>
      <c r="AY19">
        <v>29</v>
      </c>
      <c r="AZ19">
        <v>0</v>
      </c>
      <c r="BA19">
        <v>8</v>
      </c>
      <c r="BB19">
        <v>7</v>
      </c>
      <c r="BC19">
        <v>2</v>
      </c>
      <c r="BH19" t="s">
        <v>162</v>
      </c>
      <c r="BI19" t="s">
        <v>163</v>
      </c>
      <c r="BJ19" t="s">
        <v>164</v>
      </c>
      <c r="BN19" t="s">
        <v>83</v>
      </c>
      <c r="BO19" t="s">
        <v>104</v>
      </c>
      <c r="BQ19" t="s">
        <v>157</v>
      </c>
      <c r="BR19" s="2">
        <v>46249.705717592595</v>
      </c>
    </row>
    <row r="20" spans="1:70">
      <c r="A20" t="s">
        <v>165</v>
      </c>
      <c r="B20" t="s">
        <v>71</v>
      </c>
      <c r="C20">
        <v>200</v>
      </c>
      <c r="E20" t="s">
        <v>72</v>
      </c>
      <c r="G20" t="s">
        <v>166</v>
      </c>
      <c r="H20">
        <v>23</v>
      </c>
      <c r="I20">
        <v>245</v>
      </c>
      <c r="K20">
        <v>0</v>
      </c>
      <c r="L20">
        <v>0</v>
      </c>
      <c r="N20">
        <v>0</v>
      </c>
      <c r="O20" t="s">
        <v>167</v>
      </c>
      <c r="P20">
        <v>79</v>
      </c>
      <c r="R20">
        <v>0</v>
      </c>
      <c r="S20" t="s">
        <v>168</v>
      </c>
      <c r="T20">
        <v>68</v>
      </c>
      <c r="U20" t="s">
        <v>169</v>
      </c>
      <c r="V20">
        <v>58</v>
      </c>
      <c r="W20" t="s">
        <v>77</v>
      </c>
      <c r="Z20" t="s">
        <v>165</v>
      </c>
      <c r="AF20">
        <v>216360</v>
      </c>
      <c r="AG20">
        <v>45408</v>
      </c>
      <c r="AH20">
        <v>3130406</v>
      </c>
      <c r="AI20" s="1">
        <v>1109745</v>
      </c>
      <c r="AJ20" t="s">
        <v>78</v>
      </c>
      <c r="AK20">
        <v>1552</v>
      </c>
      <c r="AL20">
        <v>260</v>
      </c>
      <c r="AM20" s="1">
        <v>5969</v>
      </c>
      <c r="AN20" s="1">
        <v>10699</v>
      </c>
      <c r="AO20" t="s">
        <v>80</v>
      </c>
      <c r="AP20" s="1">
        <v>4416</v>
      </c>
      <c r="AQ20">
        <v>1</v>
      </c>
      <c r="AR20">
        <v>1</v>
      </c>
      <c r="AT20">
        <v>330</v>
      </c>
      <c r="AU20">
        <v>77</v>
      </c>
      <c r="AV20">
        <v>76</v>
      </c>
      <c r="AW20" s="1">
        <v>88510</v>
      </c>
      <c r="AX20">
        <v>160</v>
      </c>
      <c r="AY20">
        <v>51</v>
      </c>
      <c r="AZ20">
        <v>1</v>
      </c>
      <c r="BA20">
        <v>19</v>
      </c>
      <c r="BB20">
        <v>8</v>
      </c>
      <c r="BC20">
        <v>3</v>
      </c>
      <c r="BH20" t="s">
        <v>170</v>
      </c>
      <c r="BI20" t="s">
        <v>171</v>
      </c>
      <c r="BJ20" t="s">
        <v>172</v>
      </c>
      <c r="BN20" t="s">
        <v>83</v>
      </c>
      <c r="BO20" t="s">
        <v>104</v>
      </c>
      <c r="BQ20" t="s">
        <v>165</v>
      </c>
      <c r="BR20" s="2">
        <v>46249.705682870372</v>
      </c>
    </row>
    <row r="21" spans="1:70">
      <c r="A21" t="s">
        <v>173</v>
      </c>
      <c r="B21" t="s">
        <v>71</v>
      </c>
      <c r="C21">
        <v>200</v>
      </c>
      <c r="E21" t="s">
        <v>72</v>
      </c>
      <c r="G21" t="s">
        <v>174</v>
      </c>
      <c r="H21">
        <v>39</v>
      </c>
      <c r="I21">
        <v>386</v>
      </c>
      <c r="K21">
        <v>0</v>
      </c>
      <c r="L21">
        <v>0</v>
      </c>
      <c r="N21">
        <v>0</v>
      </c>
      <c r="O21" t="s">
        <v>175</v>
      </c>
      <c r="P21">
        <v>55</v>
      </c>
      <c r="R21">
        <v>0</v>
      </c>
      <c r="S21" t="s">
        <v>176</v>
      </c>
      <c r="T21">
        <v>48</v>
      </c>
      <c r="U21" t="s">
        <v>177</v>
      </c>
      <c r="V21">
        <v>29</v>
      </c>
      <c r="W21" t="s">
        <v>77</v>
      </c>
      <c r="Z21" t="s">
        <v>173</v>
      </c>
      <c r="AF21">
        <v>228505</v>
      </c>
      <c r="AG21">
        <v>48568</v>
      </c>
      <c r="AH21">
        <v>2344527</v>
      </c>
      <c r="AI21" s="1">
        <v>831147</v>
      </c>
      <c r="AJ21" t="s">
        <v>118</v>
      </c>
      <c r="AK21">
        <v>1256</v>
      </c>
      <c r="AL21">
        <v>195</v>
      </c>
      <c r="AM21" s="1">
        <v>6441</v>
      </c>
      <c r="AN21" s="1">
        <v>19310</v>
      </c>
      <c r="AO21" t="s">
        <v>80</v>
      </c>
      <c r="AP21" s="1">
        <v>3706</v>
      </c>
      <c r="AQ21">
        <v>1</v>
      </c>
      <c r="AR21">
        <v>1</v>
      </c>
      <c r="AT21">
        <v>333</v>
      </c>
      <c r="AU21">
        <v>77</v>
      </c>
      <c r="AV21">
        <v>76</v>
      </c>
      <c r="AW21" s="1">
        <v>88510</v>
      </c>
      <c r="AX21">
        <v>130</v>
      </c>
      <c r="AY21">
        <v>29</v>
      </c>
      <c r="AZ21">
        <v>0</v>
      </c>
      <c r="BA21">
        <v>16</v>
      </c>
      <c r="BB21">
        <v>8</v>
      </c>
      <c r="BC21">
        <v>3</v>
      </c>
      <c r="BH21" t="s">
        <v>178</v>
      </c>
      <c r="BI21" t="s">
        <v>179</v>
      </c>
      <c r="BJ21" t="s">
        <v>180</v>
      </c>
      <c r="BN21" t="s">
        <v>83</v>
      </c>
      <c r="BO21" t="s">
        <v>104</v>
      </c>
      <c r="BQ21" t="s">
        <v>173</v>
      </c>
      <c r="BR21" s="2">
        <v>46249.705729166664</v>
      </c>
    </row>
    <row r="22" spans="1:70">
      <c r="A22" t="s">
        <v>181</v>
      </c>
      <c r="B22" t="s">
        <v>71</v>
      </c>
      <c r="C22">
        <v>200</v>
      </c>
      <c r="E22" t="s">
        <v>72</v>
      </c>
      <c r="G22" t="s">
        <v>182</v>
      </c>
      <c r="H22">
        <v>19</v>
      </c>
      <c r="I22">
        <v>201</v>
      </c>
      <c r="K22">
        <v>0</v>
      </c>
      <c r="L22">
        <v>0</v>
      </c>
      <c r="N22">
        <v>0</v>
      </c>
      <c r="O22" t="s">
        <v>183</v>
      </c>
      <c r="P22">
        <v>47</v>
      </c>
      <c r="R22">
        <v>0</v>
      </c>
      <c r="S22" t="s">
        <v>184</v>
      </c>
      <c r="T22">
        <v>61</v>
      </c>
      <c r="U22" t="s">
        <v>185</v>
      </c>
      <c r="V22">
        <v>9</v>
      </c>
      <c r="W22" t="s">
        <v>77</v>
      </c>
      <c r="Z22" t="s">
        <v>181</v>
      </c>
      <c r="AF22">
        <v>194593</v>
      </c>
      <c r="AG22">
        <v>41500</v>
      </c>
      <c r="AH22">
        <v>27480260</v>
      </c>
      <c r="AI22" s="1">
        <v>9741890</v>
      </c>
      <c r="AJ22" t="s">
        <v>78</v>
      </c>
      <c r="AK22">
        <v>526</v>
      </c>
      <c r="AL22">
        <v>172</v>
      </c>
      <c r="AM22" s="1">
        <v>3058</v>
      </c>
      <c r="AN22" t="s">
        <v>79</v>
      </c>
      <c r="AO22" t="s">
        <v>80</v>
      </c>
      <c r="AP22" s="1">
        <v>2245</v>
      </c>
      <c r="AQ22">
        <v>1</v>
      </c>
      <c r="AR22">
        <v>1</v>
      </c>
      <c r="AT22">
        <v>377</v>
      </c>
      <c r="AU22">
        <v>77</v>
      </c>
      <c r="AV22">
        <v>77</v>
      </c>
      <c r="AW22" s="1">
        <v>88510</v>
      </c>
      <c r="AX22">
        <v>167</v>
      </c>
      <c r="AY22">
        <v>80</v>
      </c>
      <c r="AZ22">
        <v>0</v>
      </c>
      <c r="BA22">
        <v>14</v>
      </c>
      <c r="BB22">
        <v>8</v>
      </c>
      <c r="BC22">
        <v>3</v>
      </c>
      <c r="BH22" t="s">
        <v>186</v>
      </c>
      <c r="BI22" t="s">
        <v>187</v>
      </c>
      <c r="BJ22" t="s">
        <v>188</v>
      </c>
      <c r="BN22" t="s">
        <v>83</v>
      </c>
      <c r="BO22" t="s">
        <v>104</v>
      </c>
      <c r="BQ22" t="s">
        <v>181</v>
      </c>
      <c r="BR22" s="2">
        <v>46249.705659722225</v>
      </c>
    </row>
    <row r="23" spans="1:70">
      <c r="A23" t="s">
        <v>189</v>
      </c>
      <c r="B23" t="s">
        <v>71</v>
      </c>
      <c r="C23">
        <v>200</v>
      </c>
      <c r="E23" t="s">
        <v>72</v>
      </c>
      <c r="G23" t="s">
        <v>190</v>
      </c>
      <c r="H23">
        <v>16</v>
      </c>
      <c r="I23">
        <v>168</v>
      </c>
      <c r="K23">
        <v>0</v>
      </c>
      <c r="L23">
        <v>0</v>
      </c>
      <c r="N23">
        <v>0</v>
      </c>
      <c r="O23" t="s">
        <v>191</v>
      </c>
      <c r="P23">
        <v>43</v>
      </c>
      <c r="Q23" t="s">
        <v>192</v>
      </c>
      <c r="R23">
        <v>59</v>
      </c>
      <c r="S23" t="s">
        <v>193</v>
      </c>
      <c r="T23">
        <v>6</v>
      </c>
      <c r="U23" t="s">
        <v>194</v>
      </c>
      <c r="V23">
        <v>10</v>
      </c>
      <c r="W23" t="s">
        <v>77</v>
      </c>
      <c r="Z23" t="s">
        <v>189</v>
      </c>
      <c r="AF23">
        <v>172841</v>
      </c>
      <c r="AG23">
        <v>33714</v>
      </c>
      <c r="AH23">
        <v>2943781</v>
      </c>
      <c r="AI23" s="1">
        <v>1043585</v>
      </c>
      <c r="AJ23" t="s">
        <v>78</v>
      </c>
      <c r="AK23">
        <v>319</v>
      </c>
      <c r="AL23">
        <v>82</v>
      </c>
      <c r="AM23" s="1">
        <v>3890</v>
      </c>
      <c r="AN23" s="1">
        <v>70815</v>
      </c>
      <c r="AO23" t="s">
        <v>195</v>
      </c>
      <c r="AP23" s="1">
        <v>1610</v>
      </c>
      <c r="AQ23">
        <v>1</v>
      </c>
      <c r="AR23">
        <v>1</v>
      </c>
      <c r="AT23">
        <v>317</v>
      </c>
      <c r="AU23">
        <v>77</v>
      </c>
      <c r="AV23">
        <v>76</v>
      </c>
      <c r="AW23" s="1">
        <v>88510</v>
      </c>
      <c r="AX23">
        <v>149</v>
      </c>
      <c r="AY23">
        <v>39</v>
      </c>
      <c r="AZ23">
        <v>0</v>
      </c>
      <c r="BA23">
        <v>8</v>
      </c>
      <c r="BB23">
        <v>7</v>
      </c>
      <c r="BC23">
        <v>2</v>
      </c>
      <c r="BH23" t="s">
        <v>196</v>
      </c>
      <c r="BI23" t="s">
        <v>197</v>
      </c>
      <c r="BJ23" t="s">
        <v>198</v>
      </c>
      <c r="BN23" t="s">
        <v>83</v>
      </c>
      <c r="BO23" t="s">
        <v>104</v>
      </c>
      <c r="BQ23" t="s">
        <v>189</v>
      </c>
      <c r="BR23" s="2">
        <v>46249.705821759257</v>
      </c>
    </row>
    <row r="24" spans="1:70">
      <c r="A24" t="s">
        <v>199</v>
      </c>
      <c r="B24" t="s">
        <v>71</v>
      </c>
      <c r="C24">
        <v>200</v>
      </c>
      <c r="E24" t="s">
        <v>72</v>
      </c>
      <c r="G24" t="s">
        <v>200</v>
      </c>
      <c r="H24">
        <v>38</v>
      </c>
      <c r="I24">
        <v>364</v>
      </c>
      <c r="K24">
        <v>0</v>
      </c>
      <c r="L24">
        <v>0</v>
      </c>
      <c r="N24">
        <v>0</v>
      </c>
      <c r="O24" t="s">
        <v>201</v>
      </c>
      <c r="P24">
        <v>54</v>
      </c>
      <c r="R24">
        <v>0</v>
      </c>
      <c r="S24" t="s">
        <v>202</v>
      </c>
      <c r="T24">
        <v>42</v>
      </c>
      <c r="V24">
        <v>0</v>
      </c>
      <c r="W24" t="s">
        <v>77</v>
      </c>
      <c r="Z24" t="s">
        <v>199</v>
      </c>
      <c r="AF24">
        <v>239794</v>
      </c>
      <c r="AG24">
        <v>50093</v>
      </c>
      <c r="AH24">
        <v>2345423</v>
      </c>
      <c r="AI24" s="1">
        <v>831464</v>
      </c>
      <c r="AJ24" t="s">
        <v>118</v>
      </c>
      <c r="AK24">
        <v>1937</v>
      </c>
      <c r="AL24">
        <v>622</v>
      </c>
      <c r="AM24" s="1">
        <v>3114</v>
      </c>
      <c r="AN24" s="1">
        <v>73040</v>
      </c>
      <c r="AO24" t="s">
        <v>195</v>
      </c>
      <c r="AP24" s="1">
        <v>4269</v>
      </c>
      <c r="AQ24">
        <v>1</v>
      </c>
      <c r="AR24">
        <v>1</v>
      </c>
      <c r="AT24">
        <v>362</v>
      </c>
      <c r="AU24">
        <v>77</v>
      </c>
      <c r="AV24">
        <v>77</v>
      </c>
      <c r="AW24" s="1">
        <v>88510</v>
      </c>
      <c r="AX24">
        <v>130</v>
      </c>
      <c r="AY24">
        <v>28</v>
      </c>
      <c r="AZ24">
        <v>0</v>
      </c>
      <c r="BA24">
        <v>16</v>
      </c>
      <c r="BB24">
        <v>8</v>
      </c>
      <c r="BC24">
        <v>3</v>
      </c>
      <c r="BH24" t="s">
        <v>203</v>
      </c>
      <c r="BI24" t="s">
        <v>204</v>
      </c>
      <c r="BJ24" t="s">
        <v>205</v>
      </c>
      <c r="BN24" t="s">
        <v>83</v>
      </c>
      <c r="BO24" t="s">
        <v>104</v>
      </c>
      <c r="BQ24" t="s">
        <v>199</v>
      </c>
      <c r="BR24" s="2">
        <v>46249.705868055556</v>
      </c>
    </row>
    <row r="25" spans="1:70">
      <c r="A25" t="s">
        <v>206</v>
      </c>
      <c r="B25" t="s">
        <v>207</v>
      </c>
      <c r="C25">
        <v>200</v>
      </c>
      <c r="E25" t="s">
        <v>72</v>
      </c>
      <c r="G25" t="s">
        <v>208</v>
      </c>
      <c r="H25">
        <v>27</v>
      </c>
      <c r="I25">
        <v>262</v>
      </c>
      <c r="K25">
        <v>0</v>
      </c>
      <c r="L25">
        <v>0</v>
      </c>
      <c r="N25">
        <v>0</v>
      </c>
      <c r="O25" t="s">
        <v>209</v>
      </c>
      <c r="P25">
        <v>11</v>
      </c>
      <c r="R25">
        <v>0</v>
      </c>
      <c r="T25">
        <v>0</v>
      </c>
      <c r="V25">
        <v>0</v>
      </c>
      <c r="AF25">
        <v>22201</v>
      </c>
      <c r="AG25">
        <v>5693</v>
      </c>
      <c r="AH25">
        <v>963140</v>
      </c>
      <c r="AI25" s="1">
        <v>341438</v>
      </c>
      <c r="AJ25" t="s">
        <v>210</v>
      </c>
      <c r="AK25">
        <v>195</v>
      </c>
      <c r="AL25">
        <v>53</v>
      </c>
      <c r="AM25" s="1">
        <v>3679</v>
      </c>
      <c r="AN25" s="1">
        <v>37805</v>
      </c>
      <c r="AO25" t="s">
        <v>211</v>
      </c>
      <c r="AP25" s="1">
        <v>6433</v>
      </c>
      <c r="AQ25">
        <v>1</v>
      </c>
      <c r="AR25">
        <v>0</v>
      </c>
      <c r="AT25">
        <v>605</v>
      </c>
      <c r="AU25">
        <v>87</v>
      </c>
      <c r="AV25">
        <v>78</v>
      </c>
      <c r="AW25" s="1">
        <v>100000</v>
      </c>
      <c r="AX25">
        <v>13</v>
      </c>
      <c r="AY25">
        <v>11</v>
      </c>
      <c r="AZ25">
        <v>0</v>
      </c>
      <c r="BA25">
        <v>2</v>
      </c>
      <c r="BB25">
        <v>2</v>
      </c>
      <c r="BC25">
        <v>0</v>
      </c>
      <c r="BH25" t="s">
        <v>212</v>
      </c>
      <c r="BI25" t="s">
        <v>213</v>
      </c>
      <c r="BN25" t="s">
        <v>214</v>
      </c>
      <c r="BO25" t="s">
        <v>84</v>
      </c>
      <c r="BQ25" t="s">
        <v>206</v>
      </c>
      <c r="BR25" s="2">
        <v>46249.705937500003</v>
      </c>
    </row>
    <row r="26" spans="1:70">
      <c r="A26" t="s">
        <v>215</v>
      </c>
      <c r="B26" t="s">
        <v>71</v>
      </c>
      <c r="C26">
        <v>200</v>
      </c>
      <c r="E26" t="s">
        <v>72</v>
      </c>
      <c r="G26" t="s">
        <v>216</v>
      </c>
      <c r="H26">
        <v>29</v>
      </c>
      <c r="I26">
        <v>270</v>
      </c>
      <c r="K26">
        <v>0</v>
      </c>
      <c r="L26">
        <v>0</v>
      </c>
      <c r="N26">
        <v>0</v>
      </c>
      <c r="O26" t="s">
        <v>191</v>
      </c>
      <c r="P26">
        <v>43</v>
      </c>
      <c r="Q26" t="s">
        <v>192</v>
      </c>
      <c r="R26">
        <v>59</v>
      </c>
      <c r="S26" t="s">
        <v>217</v>
      </c>
      <c r="T26">
        <v>51</v>
      </c>
      <c r="U26" t="s">
        <v>218</v>
      </c>
      <c r="V26">
        <v>9</v>
      </c>
      <c r="W26" t="s">
        <v>77</v>
      </c>
      <c r="Z26" t="s">
        <v>215</v>
      </c>
      <c r="AF26">
        <v>152369</v>
      </c>
      <c r="AG26">
        <v>32837</v>
      </c>
      <c r="AH26">
        <v>3320960</v>
      </c>
      <c r="AI26" s="1">
        <v>1177297</v>
      </c>
      <c r="AJ26" t="s">
        <v>78</v>
      </c>
      <c r="AK26">
        <v>162</v>
      </c>
      <c r="AL26">
        <v>44</v>
      </c>
      <c r="AM26" s="1">
        <v>3682</v>
      </c>
      <c r="AN26" s="1">
        <v>31287</v>
      </c>
      <c r="AO26" t="s">
        <v>211</v>
      </c>
      <c r="AP26" s="1">
        <v>1351</v>
      </c>
      <c r="AQ26">
        <v>1</v>
      </c>
      <c r="AR26">
        <v>1</v>
      </c>
      <c r="AT26">
        <v>320</v>
      </c>
      <c r="AU26">
        <v>77</v>
      </c>
      <c r="AV26">
        <v>76</v>
      </c>
      <c r="AW26" s="1">
        <v>88510</v>
      </c>
      <c r="AX26">
        <v>122</v>
      </c>
      <c r="AY26">
        <v>35</v>
      </c>
      <c r="AZ26">
        <v>0</v>
      </c>
      <c r="BA26">
        <v>8</v>
      </c>
      <c r="BB26">
        <v>7</v>
      </c>
      <c r="BC26">
        <v>2</v>
      </c>
      <c r="BH26" t="s">
        <v>219</v>
      </c>
      <c r="BI26" t="s">
        <v>142</v>
      </c>
      <c r="BJ26" t="s">
        <v>220</v>
      </c>
      <c r="BN26" t="s">
        <v>83</v>
      </c>
      <c r="BO26" t="s">
        <v>104</v>
      </c>
      <c r="BQ26" t="s">
        <v>215</v>
      </c>
      <c r="BR26" s="2">
        <v>46249.705937500003</v>
      </c>
    </row>
    <row r="27" spans="1:70">
      <c r="A27" t="s">
        <v>221</v>
      </c>
      <c r="B27" t="s">
        <v>71</v>
      </c>
      <c r="C27">
        <v>200</v>
      </c>
      <c r="E27" t="s">
        <v>72</v>
      </c>
      <c r="G27" t="s">
        <v>222</v>
      </c>
      <c r="H27">
        <v>32</v>
      </c>
      <c r="I27">
        <v>332</v>
      </c>
      <c r="K27">
        <v>0</v>
      </c>
      <c r="L27">
        <v>0</v>
      </c>
      <c r="N27">
        <v>0</v>
      </c>
      <c r="O27" t="s">
        <v>223</v>
      </c>
      <c r="P27">
        <v>86</v>
      </c>
      <c r="R27">
        <v>0</v>
      </c>
      <c r="S27" t="s">
        <v>224</v>
      </c>
      <c r="T27">
        <v>49</v>
      </c>
      <c r="U27" t="s">
        <v>225</v>
      </c>
      <c r="V27">
        <v>45</v>
      </c>
      <c r="W27" t="s">
        <v>77</v>
      </c>
      <c r="Z27" t="s">
        <v>221</v>
      </c>
      <c r="AF27">
        <v>197423</v>
      </c>
      <c r="AG27">
        <v>41954</v>
      </c>
      <c r="AH27">
        <v>2177616</v>
      </c>
      <c r="AI27" s="1">
        <v>771976</v>
      </c>
      <c r="AJ27" t="s">
        <v>118</v>
      </c>
      <c r="AK27">
        <v>1045</v>
      </c>
      <c r="AL27">
        <v>179</v>
      </c>
      <c r="AM27" s="1">
        <v>5838</v>
      </c>
      <c r="AN27" t="s">
        <v>79</v>
      </c>
      <c r="AO27" t="s">
        <v>80</v>
      </c>
      <c r="AP27" s="1">
        <v>3595</v>
      </c>
      <c r="AQ27">
        <v>1</v>
      </c>
      <c r="AR27">
        <v>1</v>
      </c>
      <c r="AT27">
        <v>325</v>
      </c>
      <c r="AU27">
        <v>77</v>
      </c>
      <c r="AV27">
        <v>76</v>
      </c>
      <c r="AW27" s="1">
        <v>88510</v>
      </c>
      <c r="AX27">
        <v>134</v>
      </c>
      <c r="AY27">
        <v>30</v>
      </c>
      <c r="AZ27">
        <v>2</v>
      </c>
      <c r="BA27">
        <v>23</v>
      </c>
      <c r="BB27">
        <v>12</v>
      </c>
      <c r="BC27">
        <v>3</v>
      </c>
      <c r="BH27" t="s">
        <v>226</v>
      </c>
      <c r="BI27" t="s">
        <v>126</v>
      </c>
      <c r="BJ27" t="s">
        <v>227</v>
      </c>
      <c r="BN27" t="s">
        <v>83</v>
      </c>
      <c r="BO27" t="s">
        <v>104</v>
      </c>
      <c r="BQ27" t="s">
        <v>221</v>
      </c>
      <c r="BR27" s="2">
        <v>46249.705972222226</v>
      </c>
    </row>
    <row r="28" spans="1:70">
      <c r="A28" t="s">
        <v>228</v>
      </c>
      <c r="B28" t="s">
        <v>71</v>
      </c>
      <c r="C28">
        <v>200</v>
      </c>
      <c r="E28" t="s">
        <v>72</v>
      </c>
      <c r="G28" t="s">
        <v>229</v>
      </c>
      <c r="H28">
        <v>33</v>
      </c>
      <c r="I28">
        <v>326</v>
      </c>
      <c r="K28">
        <v>0</v>
      </c>
      <c r="L28">
        <v>0</v>
      </c>
      <c r="N28">
        <v>0</v>
      </c>
      <c r="O28" t="s">
        <v>230</v>
      </c>
      <c r="P28">
        <v>53</v>
      </c>
      <c r="R28">
        <v>0</v>
      </c>
      <c r="S28" t="s">
        <v>231</v>
      </c>
      <c r="T28">
        <v>71</v>
      </c>
      <c r="U28" t="s">
        <v>232</v>
      </c>
      <c r="V28">
        <v>48</v>
      </c>
      <c r="W28" t="s">
        <v>77</v>
      </c>
      <c r="Z28" t="s">
        <v>228</v>
      </c>
      <c r="AF28">
        <v>188679</v>
      </c>
      <c r="AG28">
        <v>42962</v>
      </c>
      <c r="AH28">
        <v>1135376</v>
      </c>
      <c r="AI28" s="1">
        <v>402496</v>
      </c>
      <c r="AJ28" t="s">
        <v>210</v>
      </c>
      <c r="AK28">
        <v>596</v>
      </c>
      <c r="AL28">
        <v>154</v>
      </c>
      <c r="AM28" s="1">
        <v>3870</v>
      </c>
      <c r="AN28" s="1">
        <v>3046</v>
      </c>
      <c r="AO28" t="s">
        <v>80</v>
      </c>
      <c r="AP28" s="1">
        <v>2370</v>
      </c>
      <c r="AQ28">
        <v>1</v>
      </c>
      <c r="AR28">
        <v>1</v>
      </c>
      <c r="AT28">
        <v>159</v>
      </c>
      <c r="AU28">
        <v>77</v>
      </c>
      <c r="AV28">
        <v>77</v>
      </c>
      <c r="AW28" s="1">
        <v>88510</v>
      </c>
      <c r="AX28">
        <v>113</v>
      </c>
      <c r="AY28">
        <v>28</v>
      </c>
      <c r="AZ28">
        <v>0</v>
      </c>
      <c r="BA28">
        <v>9</v>
      </c>
      <c r="BB28">
        <v>8</v>
      </c>
      <c r="BC28">
        <v>2</v>
      </c>
      <c r="BH28" t="s">
        <v>233</v>
      </c>
      <c r="BI28" s="1">
        <v>2479</v>
      </c>
      <c r="BJ28" t="s">
        <v>234</v>
      </c>
      <c r="BN28" t="s">
        <v>83</v>
      </c>
      <c r="BO28" t="s">
        <v>84</v>
      </c>
      <c r="BQ28" t="s">
        <v>228</v>
      </c>
      <c r="BR28" s="2">
        <v>46249.706076388888</v>
      </c>
    </row>
    <row r="29" spans="1:70">
      <c r="A29" t="s">
        <v>235</v>
      </c>
      <c r="B29" t="s">
        <v>71</v>
      </c>
      <c r="C29">
        <v>200</v>
      </c>
      <c r="E29" t="s">
        <v>72</v>
      </c>
      <c r="G29" t="s">
        <v>236</v>
      </c>
      <c r="H29">
        <v>27</v>
      </c>
      <c r="I29">
        <v>276</v>
      </c>
      <c r="K29">
        <v>0</v>
      </c>
      <c r="L29">
        <v>0</v>
      </c>
      <c r="N29">
        <v>0</v>
      </c>
      <c r="O29" t="s">
        <v>237</v>
      </c>
      <c r="P29">
        <v>81</v>
      </c>
      <c r="R29">
        <v>0</v>
      </c>
      <c r="S29" t="s">
        <v>238</v>
      </c>
      <c r="T29">
        <v>56</v>
      </c>
      <c r="U29" t="s">
        <v>239</v>
      </c>
      <c r="V29">
        <v>44</v>
      </c>
      <c r="W29" t="s">
        <v>77</v>
      </c>
      <c r="Z29" t="s">
        <v>235</v>
      </c>
      <c r="AF29">
        <v>213922</v>
      </c>
      <c r="AG29">
        <v>44908</v>
      </c>
      <c r="AH29">
        <v>2867016</v>
      </c>
      <c r="AI29" s="1">
        <v>1016372</v>
      </c>
      <c r="AJ29" t="s">
        <v>78</v>
      </c>
      <c r="AK29">
        <v>1433</v>
      </c>
      <c r="AL29">
        <v>254</v>
      </c>
      <c r="AM29" s="1">
        <v>5642</v>
      </c>
      <c r="AN29" s="1">
        <v>3453</v>
      </c>
      <c r="AO29" t="s">
        <v>80</v>
      </c>
      <c r="AP29" s="1">
        <v>4231</v>
      </c>
      <c r="AQ29">
        <v>1</v>
      </c>
      <c r="AR29">
        <v>1</v>
      </c>
      <c r="AT29">
        <v>320</v>
      </c>
      <c r="AU29">
        <v>77</v>
      </c>
      <c r="AV29">
        <v>76</v>
      </c>
      <c r="AW29" s="1">
        <v>88510</v>
      </c>
      <c r="AX29">
        <v>178</v>
      </c>
      <c r="AY29">
        <v>50</v>
      </c>
      <c r="AZ29">
        <v>0</v>
      </c>
      <c r="BA29">
        <v>19</v>
      </c>
      <c r="BB29">
        <v>8</v>
      </c>
      <c r="BC29">
        <v>3</v>
      </c>
      <c r="BH29" t="s">
        <v>240</v>
      </c>
      <c r="BI29" t="s">
        <v>241</v>
      </c>
      <c r="BJ29" t="s">
        <v>242</v>
      </c>
      <c r="BN29" t="s">
        <v>83</v>
      </c>
      <c r="BO29" t="s">
        <v>104</v>
      </c>
      <c r="BQ29" t="s">
        <v>235</v>
      </c>
      <c r="BR29" s="2">
        <v>46249.706006944441</v>
      </c>
    </row>
    <row r="30" spans="1:70">
      <c r="A30" t="s">
        <v>243</v>
      </c>
      <c r="B30" t="s">
        <v>71</v>
      </c>
      <c r="C30">
        <v>200</v>
      </c>
      <c r="E30" t="s">
        <v>72</v>
      </c>
      <c r="G30" t="s">
        <v>244</v>
      </c>
      <c r="H30">
        <v>34</v>
      </c>
      <c r="I30">
        <v>353</v>
      </c>
      <c r="K30">
        <v>0</v>
      </c>
      <c r="L30">
        <v>0</v>
      </c>
      <c r="N30">
        <v>0</v>
      </c>
      <c r="O30" t="s">
        <v>245</v>
      </c>
      <c r="P30">
        <v>66</v>
      </c>
      <c r="R30">
        <v>0</v>
      </c>
      <c r="S30" t="s">
        <v>246</v>
      </c>
      <c r="T30">
        <v>53</v>
      </c>
      <c r="U30" t="s">
        <v>247</v>
      </c>
      <c r="V30">
        <v>63</v>
      </c>
      <c r="W30" t="s">
        <v>77</v>
      </c>
      <c r="Z30" t="s">
        <v>243</v>
      </c>
      <c r="AF30">
        <v>204815</v>
      </c>
      <c r="AG30">
        <v>42450</v>
      </c>
      <c r="AH30">
        <v>2487114</v>
      </c>
      <c r="AI30" s="1">
        <v>881694</v>
      </c>
      <c r="AJ30" t="s">
        <v>78</v>
      </c>
      <c r="AK30">
        <v>1636</v>
      </c>
      <c r="AL30">
        <v>300</v>
      </c>
      <c r="AM30" s="1">
        <v>5453</v>
      </c>
      <c r="AN30" s="1">
        <v>1125</v>
      </c>
      <c r="AO30" t="s">
        <v>80</v>
      </c>
      <c r="AP30" s="1">
        <v>4859</v>
      </c>
      <c r="AQ30">
        <v>1</v>
      </c>
      <c r="AR30">
        <v>1</v>
      </c>
      <c r="AT30">
        <v>318</v>
      </c>
      <c r="AU30">
        <v>77</v>
      </c>
      <c r="AV30">
        <v>76</v>
      </c>
      <c r="AW30" s="1">
        <v>88510</v>
      </c>
      <c r="AX30">
        <v>173</v>
      </c>
      <c r="AY30">
        <v>46</v>
      </c>
      <c r="AZ30">
        <v>0</v>
      </c>
      <c r="BA30">
        <v>23</v>
      </c>
      <c r="BB30">
        <v>9</v>
      </c>
      <c r="BC30">
        <v>4</v>
      </c>
      <c r="BH30" t="s">
        <v>248</v>
      </c>
      <c r="BI30" s="1">
        <v>1907</v>
      </c>
      <c r="BJ30" t="s">
        <v>249</v>
      </c>
      <c r="BN30" t="s">
        <v>83</v>
      </c>
      <c r="BO30" t="s">
        <v>84</v>
      </c>
      <c r="BQ30" t="s">
        <v>243</v>
      </c>
      <c r="BR30" s="2">
        <v>46249.706111111111</v>
      </c>
    </row>
    <row r="31" spans="1:70">
      <c r="A31" t="s">
        <v>250</v>
      </c>
      <c r="B31" t="s">
        <v>71</v>
      </c>
      <c r="C31">
        <v>404</v>
      </c>
      <c r="E31" t="s">
        <v>87</v>
      </c>
      <c r="F31" t="s">
        <v>88</v>
      </c>
      <c r="H31">
        <v>0</v>
      </c>
      <c r="I31">
        <v>0</v>
      </c>
      <c r="K31">
        <v>0</v>
      </c>
      <c r="L31">
        <v>0</v>
      </c>
      <c r="N31">
        <v>0</v>
      </c>
      <c r="P31">
        <v>0</v>
      </c>
      <c r="R31">
        <v>0</v>
      </c>
      <c r="T31">
        <v>0</v>
      </c>
      <c r="V31">
        <v>0</v>
      </c>
      <c r="AF31">
        <v>120632</v>
      </c>
      <c r="AG31">
        <v>28178</v>
      </c>
      <c r="AH31">
        <v>897539</v>
      </c>
      <c r="AI31" s="1">
        <v>318182</v>
      </c>
      <c r="AJ31" t="s">
        <v>94</v>
      </c>
      <c r="AK31">
        <v>0</v>
      </c>
      <c r="AP31" t="s">
        <v>79</v>
      </c>
      <c r="AQ31">
        <v>1</v>
      </c>
      <c r="AR31">
        <v>1</v>
      </c>
      <c r="AT31">
        <v>1</v>
      </c>
      <c r="AU31">
        <v>1</v>
      </c>
      <c r="AV31">
        <v>0</v>
      </c>
      <c r="AW31" s="1">
        <v>1150</v>
      </c>
      <c r="AX31">
        <v>0</v>
      </c>
      <c r="AY31">
        <v>0</v>
      </c>
      <c r="AZ31">
        <v>0</v>
      </c>
      <c r="BA31">
        <v>0</v>
      </c>
      <c r="BB31">
        <v>0</v>
      </c>
      <c r="BC31">
        <v>0</v>
      </c>
      <c r="BI31" s="1">
        <v>2671</v>
      </c>
      <c r="BO31" t="s">
        <v>84</v>
      </c>
      <c r="BQ31" t="s">
        <v>250</v>
      </c>
      <c r="BR31" s="2">
        <v>46249.706273148149</v>
      </c>
    </row>
    <row r="32" spans="1:70">
      <c r="A32" t="s">
        <v>251</v>
      </c>
      <c r="B32" t="s">
        <v>71</v>
      </c>
      <c r="C32">
        <v>200</v>
      </c>
      <c r="E32" t="s">
        <v>72</v>
      </c>
      <c r="G32" t="s">
        <v>252</v>
      </c>
      <c r="H32">
        <v>21</v>
      </c>
      <c r="I32">
        <v>203</v>
      </c>
      <c r="K32">
        <v>0</v>
      </c>
      <c r="L32">
        <v>0</v>
      </c>
      <c r="N32">
        <v>0</v>
      </c>
      <c r="O32" t="s">
        <v>253</v>
      </c>
      <c r="P32">
        <v>31</v>
      </c>
      <c r="R32">
        <v>0</v>
      </c>
      <c r="S32" t="s">
        <v>254</v>
      </c>
      <c r="T32">
        <v>83</v>
      </c>
      <c r="U32" t="s">
        <v>255</v>
      </c>
      <c r="V32">
        <v>40</v>
      </c>
      <c r="W32" t="s">
        <v>77</v>
      </c>
      <c r="Z32" t="s">
        <v>251</v>
      </c>
      <c r="AF32">
        <v>175811</v>
      </c>
      <c r="AG32">
        <v>37161</v>
      </c>
      <c r="AH32">
        <v>25538029</v>
      </c>
      <c r="AI32" s="1">
        <v>9053359</v>
      </c>
      <c r="AJ32" t="s">
        <v>78</v>
      </c>
      <c r="AK32">
        <v>759</v>
      </c>
      <c r="AL32">
        <v>190</v>
      </c>
      <c r="AM32" s="1">
        <v>3995</v>
      </c>
      <c r="AN32" t="s">
        <v>79</v>
      </c>
      <c r="AO32" t="s">
        <v>80</v>
      </c>
      <c r="AP32" s="1">
        <v>3290</v>
      </c>
      <c r="AQ32">
        <v>1</v>
      </c>
      <c r="AR32">
        <v>1</v>
      </c>
      <c r="AT32">
        <v>326</v>
      </c>
      <c r="AU32">
        <v>77</v>
      </c>
      <c r="AV32">
        <v>81</v>
      </c>
      <c r="AW32" s="1">
        <v>88510</v>
      </c>
      <c r="AX32">
        <v>132</v>
      </c>
      <c r="AY32">
        <v>28</v>
      </c>
      <c r="AZ32">
        <v>0</v>
      </c>
      <c r="BA32">
        <v>8</v>
      </c>
      <c r="BB32">
        <v>7</v>
      </c>
      <c r="BC32">
        <v>2</v>
      </c>
      <c r="BH32" t="s">
        <v>256</v>
      </c>
      <c r="BI32" t="s">
        <v>257</v>
      </c>
      <c r="BJ32" t="s">
        <v>258</v>
      </c>
      <c r="BN32" t="s">
        <v>83</v>
      </c>
      <c r="BO32" t="s">
        <v>84</v>
      </c>
      <c r="BQ32" t="s">
        <v>251</v>
      </c>
      <c r="BR32" s="2">
        <v>46249.706134259257</v>
      </c>
    </row>
    <row r="33" spans="1:70">
      <c r="A33" t="s">
        <v>259</v>
      </c>
      <c r="B33" t="s">
        <v>71</v>
      </c>
      <c r="C33">
        <v>404</v>
      </c>
      <c r="E33" t="s">
        <v>87</v>
      </c>
      <c r="F33" t="s">
        <v>88</v>
      </c>
      <c r="H33">
        <v>0</v>
      </c>
      <c r="I33">
        <v>0</v>
      </c>
      <c r="K33">
        <v>0</v>
      </c>
      <c r="L33">
        <v>0</v>
      </c>
      <c r="N33">
        <v>0</v>
      </c>
      <c r="P33">
        <v>0</v>
      </c>
      <c r="R33">
        <v>0</v>
      </c>
      <c r="T33">
        <v>0</v>
      </c>
      <c r="V33">
        <v>0</v>
      </c>
      <c r="AF33">
        <v>120610</v>
      </c>
      <c r="AG33">
        <v>28673</v>
      </c>
      <c r="AH33">
        <v>881425</v>
      </c>
      <c r="AI33" s="1">
        <v>312470</v>
      </c>
      <c r="AJ33" t="s">
        <v>94</v>
      </c>
      <c r="AK33">
        <v>0</v>
      </c>
      <c r="AP33" t="s">
        <v>79</v>
      </c>
      <c r="AQ33">
        <v>1</v>
      </c>
      <c r="AR33">
        <v>1</v>
      </c>
      <c r="AT33">
        <v>306</v>
      </c>
      <c r="AU33">
        <v>77</v>
      </c>
      <c r="AV33">
        <v>76</v>
      </c>
      <c r="AW33" s="1">
        <v>88510</v>
      </c>
      <c r="AX33">
        <v>0</v>
      </c>
      <c r="AY33">
        <v>0</v>
      </c>
      <c r="AZ33">
        <v>0</v>
      </c>
      <c r="BA33">
        <v>0</v>
      </c>
      <c r="BB33">
        <v>0</v>
      </c>
      <c r="BC33">
        <v>0</v>
      </c>
      <c r="BI33" s="1">
        <v>3525</v>
      </c>
      <c r="BO33" t="s">
        <v>104</v>
      </c>
      <c r="BQ33" t="s">
        <v>259</v>
      </c>
      <c r="BR33" s="2">
        <v>46249.706365740742</v>
      </c>
    </row>
    <row r="34" spans="1:70">
      <c r="A34" t="s">
        <v>260</v>
      </c>
      <c r="B34" t="s">
        <v>71</v>
      </c>
      <c r="C34">
        <v>404</v>
      </c>
      <c r="E34" t="s">
        <v>87</v>
      </c>
      <c r="F34" t="s">
        <v>88</v>
      </c>
      <c r="H34">
        <v>0</v>
      </c>
      <c r="I34">
        <v>0</v>
      </c>
      <c r="K34">
        <v>0</v>
      </c>
      <c r="L34">
        <v>0</v>
      </c>
      <c r="N34">
        <v>0</v>
      </c>
      <c r="P34">
        <v>0</v>
      </c>
      <c r="R34">
        <v>0</v>
      </c>
      <c r="T34">
        <v>0</v>
      </c>
      <c r="V34">
        <v>0</v>
      </c>
      <c r="AF34">
        <v>120604</v>
      </c>
      <c r="AG34">
        <v>28075</v>
      </c>
      <c r="AH34">
        <v>897875</v>
      </c>
      <c r="AI34" s="1">
        <v>318301</v>
      </c>
      <c r="AJ34" t="s">
        <v>94</v>
      </c>
      <c r="AK34">
        <v>0</v>
      </c>
      <c r="AP34" t="s">
        <v>79</v>
      </c>
      <c r="AQ34">
        <v>1</v>
      </c>
      <c r="AR34">
        <v>1</v>
      </c>
      <c r="AT34">
        <v>1</v>
      </c>
      <c r="AU34">
        <v>1</v>
      </c>
      <c r="AV34">
        <v>0</v>
      </c>
      <c r="AW34" s="1">
        <v>1150</v>
      </c>
      <c r="AX34">
        <v>0</v>
      </c>
      <c r="AY34">
        <v>0</v>
      </c>
      <c r="AZ34">
        <v>0</v>
      </c>
      <c r="BA34">
        <v>0</v>
      </c>
      <c r="BB34">
        <v>0</v>
      </c>
      <c r="BC34">
        <v>0</v>
      </c>
      <c r="BI34" s="1">
        <v>2570</v>
      </c>
      <c r="BO34" t="s">
        <v>84</v>
      </c>
      <c r="BQ34" t="s">
        <v>260</v>
      </c>
      <c r="BR34" s="2">
        <v>46249.706342592595</v>
      </c>
    </row>
    <row r="35" spans="1:70">
      <c r="A35" t="s">
        <v>261</v>
      </c>
      <c r="B35" t="s">
        <v>71</v>
      </c>
      <c r="C35">
        <v>200</v>
      </c>
      <c r="E35" t="s">
        <v>72</v>
      </c>
      <c r="G35" t="s">
        <v>262</v>
      </c>
      <c r="H35">
        <v>25</v>
      </c>
      <c r="I35">
        <v>241</v>
      </c>
      <c r="K35">
        <v>0</v>
      </c>
      <c r="L35">
        <v>0</v>
      </c>
      <c r="N35">
        <v>0</v>
      </c>
      <c r="O35" t="s">
        <v>263</v>
      </c>
      <c r="P35">
        <v>35</v>
      </c>
      <c r="R35">
        <v>0</v>
      </c>
      <c r="S35" t="s">
        <v>264</v>
      </c>
      <c r="T35">
        <v>56</v>
      </c>
      <c r="U35" t="s">
        <v>265</v>
      </c>
      <c r="V35">
        <v>33</v>
      </c>
      <c r="W35" t="s">
        <v>77</v>
      </c>
      <c r="Z35" t="s">
        <v>261</v>
      </c>
      <c r="AF35">
        <v>165035</v>
      </c>
      <c r="AG35">
        <v>36227</v>
      </c>
      <c r="AH35">
        <v>3098115</v>
      </c>
      <c r="AI35" s="1">
        <v>1098297</v>
      </c>
      <c r="AJ35" t="s">
        <v>78</v>
      </c>
      <c r="AK35">
        <v>504</v>
      </c>
      <c r="AL35">
        <v>114</v>
      </c>
      <c r="AM35" s="1">
        <v>4421</v>
      </c>
      <c r="AN35" s="1">
        <v>11494</v>
      </c>
      <c r="AO35" t="s">
        <v>80</v>
      </c>
      <c r="AP35" s="1">
        <v>2302</v>
      </c>
      <c r="AQ35">
        <v>1</v>
      </c>
      <c r="AR35">
        <v>1</v>
      </c>
      <c r="AT35">
        <v>395</v>
      </c>
      <c r="AU35">
        <v>77</v>
      </c>
      <c r="AV35">
        <v>81</v>
      </c>
      <c r="AW35" s="1">
        <v>88510</v>
      </c>
      <c r="AX35">
        <v>136</v>
      </c>
      <c r="AY35">
        <v>39</v>
      </c>
      <c r="AZ35">
        <v>0</v>
      </c>
      <c r="BA35">
        <v>15</v>
      </c>
      <c r="BB35">
        <v>8</v>
      </c>
      <c r="BC35">
        <v>3</v>
      </c>
      <c r="BH35" t="s">
        <v>266</v>
      </c>
      <c r="BI35" t="s">
        <v>267</v>
      </c>
      <c r="BJ35" t="s">
        <v>268</v>
      </c>
      <c r="BN35" t="s">
        <v>83</v>
      </c>
      <c r="BO35" t="s">
        <v>104</v>
      </c>
      <c r="BQ35" t="s">
        <v>261</v>
      </c>
      <c r="BR35" s="2">
        <v>46249.706030092595</v>
      </c>
    </row>
    <row r="36" spans="1:70">
      <c r="A36" t="s">
        <v>269</v>
      </c>
      <c r="B36" t="s">
        <v>71</v>
      </c>
      <c r="C36">
        <v>200</v>
      </c>
      <c r="E36" t="s">
        <v>72</v>
      </c>
      <c r="G36" t="s">
        <v>270</v>
      </c>
      <c r="H36">
        <v>28</v>
      </c>
      <c r="I36">
        <v>278</v>
      </c>
      <c r="K36">
        <v>0</v>
      </c>
      <c r="L36">
        <v>0</v>
      </c>
      <c r="N36">
        <v>0</v>
      </c>
      <c r="O36" t="s">
        <v>271</v>
      </c>
      <c r="P36">
        <v>44</v>
      </c>
      <c r="R36">
        <v>0</v>
      </c>
      <c r="S36" t="s">
        <v>272</v>
      </c>
      <c r="T36">
        <v>68</v>
      </c>
      <c r="U36" t="s">
        <v>273</v>
      </c>
      <c r="V36">
        <v>26</v>
      </c>
      <c r="W36" t="s">
        <v>77</v>
      </c>
      <c r="Z36" t="s">
        <v>269</v>
      </c>
      <c r="AF36">
        <v>248326</v>
      </c>
      <c r="AG36">
        <v>54580</v>
      </c>
      <c r="AH36">
        <v>2441722</v>
      </c>
      <c r="AI36" s="1">
        <v>865603</v>
      </c>
      <c r="AJ36" t="s">
        <v>78</v>
      </c>
      <c r="AK36">
        <v>1450</v>
      </c>
      <c r="AL36">
        <v>249</v>
      </c>
      <c r="AM36" s="1">
        <v>5823</v>
      </c>
      <c r="AN36" s="1">
        <v>41118</v>
      </c>
      <c r="AO36" t="s">
        <v>211</v>
      </c>
      <c r="AP36" s="1">
        <v>3832</v>
      </c>
      <c r="AQ36">
        <v>1</v>
      </c>
      <c r="AR36">
        <v>1</v>
      </c>
      <c r="AT36">
        <v>335</v>
      </c>
      <c r="AU36">
        <v>77</v>
      </c>
      <c r="AV36">
        <v>76</v>
      </c>
      <c r="AW36" s="1">
        <v>88510</v>
      </c>
      <c r="AX36">
        <v>130</v>
      </c>
      <c r="AY36">
        <v>30</v>
      </c>
      <c r="AZ36">
        <v>1</v>
      </c>
      <c r="BA36">
        <v>16</v>
      </c>
      <c r="BB36">
        <v>8</v>
      </c>
      <c r="BC36">
        <v>3</v>
      </c>
      <c r="BH36" t="s">
        <v>274</v>
      </c>
      <c r="BI36" t="s">
        <v>275</v>
      </c>
      <c r="BJ36" t="s">
        <v>276</v>
      </c>
      <c r="BN36" t="s">
        <v>83</v>
      </c>
      <c r="BO36" t="s">
        <v>104</v>
      </c>
      <c r="BQ36" t="s">
        <v>269</v>
      </c>
      <c r="BR36" s="2">
        <v>46249.706354166665</v>
      </c>
    </row>
    <row r="37" spans="1:70">
      <c r="A37" t="s">
        <v>277</v>
      </c>
      <c r="B37" t="s">
        <v>71</v>
      </c>
      <c r="C37">
        <v>200</v>
      </c>
      <c r="E37" t="s">
        <v>72</v>
      </c>
      <c r="G37" t="s">
        <v>278</v>
      </c>
      <c r="H37">
        <v>40</v>
      </c>
      <c r="I37">
        <v>396</v>
      </c>
      <c r="K37">
        <v>0</v>
      </c>
      <c r="L37">
        <v>0</v>
      </c>
      <c r="N37">
        <v>0</v>
      </c>
      <c r="O37" t="s">
        <v>279</v>
      </c>
      <c r="P37">
        <v>50</v>
      </c>
      <c r="R37">
        <v>0</v>
      </c>
      <c r="S37" t="s">
        <v>280</v>
      </c>
      <c r="T37">
        <v>70</v>
      </c>
      <c r="U37" t="s">
        <v>281</v>
      </c>
      <c r="V37">
        <v>49</v>
      </c>
      <c r="W37" t="s">
        <v>77</v>
      </c>
      <c r="Z37" t="s">
        <v>277</v>
      </c>
      <c r="AF37">
        <v>151958</v>
      </c>
      <c r="AG37">
        <v>34330</v>
      </c>
      <c r="AH37">
        <v>1726023</v>
      </c>
      <c r="AI37" s="1">
        <v>611884</v>
      </c>
      <c r="AJ37" t="s">
        <v>282</v>
      </c>
      <c r="AK37">
        <v>394</v>
      </c>
      <c r="AL37">
        <v>101</v>
      </c>
      <c r="AM37" s="1">
        <v>3901</v>
      </c>
      <c r="AN37" t="s">
        <v>79</v>
      </c>
      <c r="AO37" t="s">
        <v>80</v>
      </c>
      <c r="AP37" s="1">
        <v>2259</v>
      </c>
      <c r="AQ37">
        <v>1</v>
      </c>
      <c r="AR37">
        <v>1</v>
      </c>
      <c r="AT37">
        <v>316</v>
      </c>
      <c r="AU37">
        <v>77</v>
      </c>
      <c r="AV37">
        <v>76</v>
      </c>
      <c r="AW37" s="1">
        <v>88510</v>
      </c>
      <c r="AX37">
        <v>127</v>
      </c>
      <c r="AY37">
        <v>29</v>
      </c>
      <c r="AZ37">
        <v>0</v>
      </c>
      <c r="BA37">
        <v>8</v>
      </c>
      <c r="BB37">
        <v>7</v>
      </c>
      <c r="BC37">
        <v>2</v>
      </c>
      <c r="BH37" t="s">
        <v>283</v>
      </c>
      <c r="BI37" s="1">
        <v>1073</v>
      </c>
      <c r="BJ37" t="s">
        <v>284</v>
      </c>
      <c r="BN37" t="s">
        <v>83</v>
      </c>
      <c r="BO37" t="s">
        <v>84</v>
      </c>
      <c r="BQ37" t="s">
        <v>277</v>
      </c>
      <c r="BR37" s="2">
        <v>46249.706759259258</v>
      </c>
    </row>
    <row r="38" spans="1:70">
      <c r="A38" t="s">
        <v>285</v>
      </c>
      <c r="B38" t="s">
        <v>71</v>
      </c>
      <c r="C38">
        <v>200</v>
      </c>
      <c r="E38" t="s">
        <v>72</v>
      </c>
      <c r="G38" t="s">
        <v>286</v>
      </c>
      <c r="H38">
        <v>30</v>
      </c>
      <c r="I38">
        <v>314</v>
      </c>
      <c r="K38">
        <v>0</v>
      </c>
      <c r="L38">
        <v>0</v>
      </c>
      <c r="N38">
        <v>0</v>
      </c>
      <c r="O38" t="s">
        <v>287</v>
      </c>
      <c r="P38">
        <v>40</v>
      </c>
      <c r="R38">
        <v>0</v>
      </c>
      <c r="S38" t="s">
        <v>288</v>
      </c>
      <c r="T38">
        <v>87</v>
      </c>
      <c r="U38" t="s">
        <v>289</v>
      </c>
      <c r="V38">
        <v>46</v>
      </c>
      <c r="W38" t="s">
        <v>77</v>
      </c>
      <c r="Z38" t="s">
        <v>285</v>
      </c>
      <c r="AF38">
        <v>152295</v>
      </c>
      <c r="AG38">
        <v>34118</v>
      </c>
      <c r="AH38">
        <v>2336330</v>
      </c>
      <c r="AI38" s="1">
        <v>828241</v>
      </c>
      <c r="AJ38" t="s">
        <v>118</v>
      </c>
      <c r="AK38">
        <v>401</v>
      </c>
      <c r="AL38">
        <v>103</v>
      </c>
      <c r="AM38" s="1">
        <v>3893</v>
      </c>
      <c r="AN38" t="s">
        <v>79</v>
      </c>
      <c r="AO38" t="s">
        <v>80</v>
      </c>
      <c r="AP38" s="1">
        <v>2239</v>
      </c>
      <c r="AQ38">
        <v>1</v>
      </c>
      <c r="AR38">
        <v>1</v>
      </c>
      <c r="AT38">
        <v>316</v>
      </c>
      <c r="AU38">
        <v>77</v>
      </c>
      <c r="AV38">
        <v>76</v>
      </c>
      <c r="AW38" s="1">
        <v>88510</v>
      </c>
      <c r="AX38">
        <v>127</v>
      </c>
      <c r="AY38">
        <v>28</v>
      </c>
      <c r="AZ38">
        <v>0</v>
      </c>
      <c r="BA38">
        <v>8</v>
      </c>
      <c r="BB38">
        <v>7</v>
      </c>
      <c r="BC38">
        <v>2</v>
      </c>
      <c r="BH38" t="s">
        <v>290</v>
      </c>
      <c r="BI38" t="s">
        <v>291</v>
      </c>
      <c r="BJ38" t="s">
        <v>292</v>
      </c>
      <c r="BN38" t="s">
        <v>83</v>
      </c>
      <c r="BO38" t="s">
        <v>84</v>
      </c>
      <c r="BQ38" t="s">
        <v>285</v>
      </c>
      <c r="BR38" s="2">
        <v>46249.706770833334</v>
      </c>
    </row>
    <row r="39" spans="1:70">
      <c r="A39" t="s">
        <v>293</v>
      </c>
      <c r="B39" t="s">
        <v>71</v>
      </c>
      <c r="C39">
        <v>200</v>
      </c>
      <c r="E39" t="s">
        <v>72</v>
      </c>
      <c r="G39" t="s">
        <v>294</v>
      </c>
      <c r="H39">
        <v>36</v>
      </c>
      <c r="I39">
        <v>377</v>
      </c>
      <c r="K39">
        <v>0</v>
      </c>
      <c r="L39">
        <v>0</v>
      </c>
      <c r="N39">
        <v>0</v>
      </c>
      <c r="O39" t="s">
        <v>295</v>
      </c>
      <c r="P39">
        <v>36</v>
      </c>
      <c r="Q39" t="s">
        <v>296</v>
      </c>
      <c r="R39">
        <v>18</v>
      </c>
      <c r="S39" t="s">
        <v>297</v>
      </c>
      <c r="T39">
        <v>58</v>
      </c>
      <c r="U39" t="s">
        <v>218</v>
      </c>
      <c r="V39">
        <v>9</v>
      </c>
      <c r="W39" t="s">
        <v>77</v>
      </c>
      <c r="Z39" t="s">
        <v>293</v>
      </c>
      <c r="AF39">
        <v>220600</v>
      </c>
      <c r="AG39">
        <v>35643</v>
      </c>
      <c r="AH39">
        <v>3481883</v>
      </c>
      <c r="AI39" s="1">
        <v>1234345</v>
      </c>
      <c r="AJ39" t="s">
        <v>78</v>
      </c>
      <c r="AK39">
        <v>187</v>
      </c>
      <c r="AL39">
        <v>79</v>
      </c>
      <c r="AM39" s="1">
        <v>2367</v>
      </c>
      <c r="AN39" t="s">
        <v>79</v>
      </c>
      <c r="AO39" t="s">
        <v>80</v>
      </c>
      <c r="AP39" s="1">
        <v>1164</v>
      </c>
      <c r="AQ39">
        <v>1</v>
      </c>
      <c r="AR39">
        <v>1</v>
      </c>
      <c r="AT39">
        <v>320</v>
      </c>
      <c r="AU39">
        <v>77</v>
      </c>
      <c r="AV39">
        <v>76</v>
      </c>
      <c r="AW39" s="1">
        <v>88510</v>
      </c>
      <c r="AX39">
        <v>112</v>
      </c>
      <c r="AY39">
        <v>28</v>
      </c>
      <c r="AZ39">
        <v>0</v>
      </c>
      <c r="BA39">
        <v>33</v>
      </c>
      <c r="BB39">
        <v>32</v>
      </c>
      <c r="BC39">
        <v>2</v>
      </c>
      <c r="BH39" t="s">
        <v>298</v>
      </c>
      <c r="BI39" t="s">
        <v>299</v>
      </c>
      <c r="BJ39" t="s">
        <v>300</v>
      </c>
      <c r="BN39" t="s">
        <v>83</v>
      </c>
      <c r="BO39" t="s">
        <v>104</v>
      </c>
      <c r="BQ39" t="s">
        <v>293</v>
      </c>
      <c r="BR39" s="2">
        <v>46249.706805555557</v>
      </c>
    </row>
    <row r="40" spans="1:70">
      <c r="A40" t="s">
        <v>301</v>
      </c>
      <c r="B40" t="s">
        <v>71</v>
      </c>
      <c r="C40">
        <v>200</v>
      </c>
      <c r="E40" t="s">
        <v>72</v>
      </c>
      <c r="G40" t="s">
        <v>302</v>
      </c>
      <c r="H40">
        <v>34</v>
      </c>
      <c r="I40">
        <v>330</v>
      </c>
      <c r="K40">
        <v>0</v>
      </c>
      <c r="L40">
        <v>0</v>
      </c>
      <c r="N40">
        <v>0</v>
      </c>
      <c r="O40" t="s">
        <v>303</v>
      </c>
      <c r="P40">
        <v>49</v>
      </c>
      <c r="R40">
        <v>0</v>
      </c>
      <c r="S40" t="s">
        <v>304</v>
      </c>
      <c r="T40">
        <v>91</v>
      </c>
      <c r="U40" t="s">
        <v>305</v>
      </c>
      <c r="V40">
        <v>77</v>
      </c>
      <c r="W40" t="s">
        <v>77</v>
      </c>
      <c r="Z40" t="s">
        <v>301</v>
      </c>
      <c r="AF40">
        <v>176380</v>
      </c>
      <c r="AG40">
        <v>38300</v>
      </c>
      <c r="AH40">
        <v>811056</v>
      </c>
      <c r="AI40" s="1">
        <v>287523</v>
      </c>
      <c r="AJ40" t="s">
        <v>94</v>
      </c>
      <c r="AK40">
        <v>809</v>
      </c>
      <c r="AL40">
        <v>164</v>
      </c>
      <c r="AM40" s="1">
        <v>4933</v>
      </c>
      <c r="AN40" s="1">
        <v>16105</v>
      </c>
      <c r="AO40" t="s">
        <v>80</v>
      </c>
      <c r="AP40" s="1">
        <v>3039</v>
      </c>
      <c r="AQ40">
        <v>2</v>
      </c>
      <c r="AR40">
        <v>1</v>
      </c>
      <c r="AT40">
        <v>13</v>
      </c>
      <c r="AU40">
        <v>8</v>
      </c>
      <c r="AV40">
        <v>1</v>
      </c>
      <c r="AW40" s="1">
        <v>9200</v>
      </c>
      <c r="AX40">
        <v>127</v>
      </c>
      <c r="AY40">
        <v>35</v>
      </c>
      <c r="AZ40">
        <v>0</v>
      </c>
      <c r="BA40">
        <v>16</v>
      </c>
      <c r="BB40">
        <v>8</v>
      </c>
      <c r="BC40">
        <v>3</v>
      </c>
      <c r="BH40" t="s">
        <v>306</v>
      </c>
      <c r="BI40" t="s">
        <v>307</v>
      </c>
      <c r="BJ40" t="s">
        <v>308</v>
      </c>
      <c r="BN40" t="s">
        <v>83</v>
      </c>
      <c r="BO40" t="s">
        <v>104</v>
      </c>
      <c r="BQ40" t="s">
        <v>301</v>
      </c>
      <c r="BR40" s="2">
        <v>46249.70684027778</v>
      </c>
    </row>
    <row r="41" spans="1:70">
      <c r="A41" t="s">
        <v>309</v>
      </c>
      <c r="B41" t="s">
        <v>71</v>
      </c>
      <c r="C41">
        <v>200</v>
      </c>
      <c r="E41" t="s">
        <v>72</v>
      </c>
      <c r="G41" t="s">
        <v>310</v>
      </c>
      <c r="H41">
        <v>44</v>
      </c>
      <c r="I41">
        <v>416</v>
      </c>
      <c r="K41">
        <v>0</v>
      </c>
      <c r="L41">
        <v>0</v>
      </c>
      <c r="N41">
        <v>0</v>
      </c>
      <c r="O41" t="s">
        <v>311</v>
      </c>
      <c r="P41">
        <v>55</v>
      </c>
      <c r="R41">
        <v>0</v>
      </c>
      <c r="S41" t="s">
        <v>312</v>
      </c>
      <c r="T41">
        <v>85</v>
      </c>
      <c r="U41" t="s">
        <v>313</v>
      </c>
      <c r="V41">
        <v>79</v>
      </c>
      <c r="W41" t="s">
        <v>77</v>
      </c>
      <c r="Z41" t="s">
        <v>309</v>
      </c>
      <c r="AF41">
        <v>171323</v>
      </c>
      <c r="AG41">
        <v>37660</v>
      </c>
      <c r="AH41">
        <v>2380837</v>
      </c>
      <c r="AI41" s="1">
        <v>844019</v>
      </c>
      <c r="AJ41" t="s">
        <v>118</v>
      </c>
      <c r="AK41">
        <v>822</v>
      </c>
      <c r="AL41">
        <v>156</v>
      </c>
      <c r="AM41" s="1">
        <v>5269</v>
      </c>
      <c r="AN41" t="s">
        <v>79</v>
      </c>
      <c r="AO41" t="s">
        <v>80</v>
      </c>
      <c r="AP41" s="1">
        <v>3318</v>
      </c>
      <c r="AQ41">
        <v>2</v>
      </c>
      <c r="AR41">
        <v>1</v>
      </c>
      <c r="AT41">
        <v>10</v>
      </c>
      <c r="AU41">
        <v>5</v>
      </c>
      <c r="AV41">
        <v>1</v>
      </c>
      <c r="AW41" s="1">
        <v>5750</v>
      </c>
      <c r="AX41">
        <v>127</v>
      </c>
      <c r="AY41">
        <v>33</v>
      </c>
      <c r="AZ41">
        <v>1</v>
      </c>
      <c r="BA41">
        <v>16</v>
      </c>
      <c r="BB41">
        <v>8</v>
      </c>
      <c r="BC41">
        <v>3</v>
      </c>
      <c r="BH41" t="s">
        <v>314</v>
      </c>
      <c r="BI41" t="s">
        <v>315</v>
      </c>
      <c r="BJ41" t="s">
        <v>316</v>
      </c>
      <c r="BN41" t="s">
        <v>83</v>
      </c>
      <c r="BO41" t="s">
        <v>104</v>
      </c>
      <c r="BQ41" t="s">
        <v>309</v>
      </c>
      <c r="BR41" s="2">
        <v>46249.706828703704</v>
      </c>
    </row>
    <row r="42" spans="1:70">
      <c r="A42" t="s">
        <v>317</v>
      </c>
      <c r="B42" t="s">
        <v>71</v>
      </c>
      <c r="C42">
        <v>200</v>
      </c>
      <c r="E42" t="s">
        <v>72</v>
      </c>
      <c r="G42" t="s">
        <v>318</v>
      </c>
      <c r="H42">
        <v>37</v>
      </c>
      <c r="I42">
        <v>370</v>
      </c>
      <c r="K42">
        <v>0</v>
      </c>
      <c r="L42">
        <v>0</v>
      </c>
      <c r="N42">
        <v>0</v>
      </c>
      <c r="O42" t="s">
        <v>319</v>
      </c>
      <c r="P42">
        <v>53</v>
      </c>
      <c r="R42">
        <v>0</v>
      </c>
      <c r="S42" t="s">
        <v>320</v>
      </c>
      <c r="T42">
        <v>81</v>
      </c>
      <c r="U42" t="s">
        <v>321</v>
      </c>
      <c r="V42">
        <v>96</v>
      </c>
      <c r="W42" t="s">
        <v>77</v>
      </c>
      <c r="Z42" t="s">
        <v>317</v>
      </c>
      <c r="AF42">
        <v>171783</v>
      </c>
      <c r="AG42">
        <v>37690</v>
      </c>
      <c r="AH42">
        <v>2564397</v>
      </c>
      <c r="AI42" s="1">
        <v>909092</v>
      </c>
      <c r="AJ42" t="s">
        <v>78</v>
      </c>
      <c r="AK42">
        <v>817</v>
      </c>
      <c r="AL42">
        <v>160</v>
      </c>
      <c r="AM42" s="1">
        <v>5106</v>
      </c>
      <c r="AN42" t="s">
        <v>79</v>
      </c>
      <c r="AO42" t="s">
        <v>80</v>
      </c>
      <c r="AP42" s="1">
        <v>3347</v>
      </c>
      <c r="AQ42">
        <v>2</v>
      </c>
      <c r="AR42">
        <v>1</v>
      </c>
      <c r="AT42">
        <v>10</v>
      </c>
      <c r="AU42">
        <v>5</v>
      </c>
      <c r="AV42">
        <v>1</v>
      </c>
      <c r="AW42" s="1">
        <v>5750</v>
      </c>
      <c r="AX42">
        <v>127</v>
      </c>
      <c r="AY42">
        <v>33</v>
      </c>
      <c r="AZ42">
        <v>1</v>
      </c>
      <c r="BA42">
        <v>16</v>
      </c>
      <c r="BB42">
        <v>8</v>
      </c>
      <c r="BC42">
        <v>3</v>
      </c>
      <c r="BH42" t="s">
        <v>322</v>
      </c>
      <c r="BI42" s="1">
        <v>20578</v>
      </c>
      <c r="BJ42" t="s">
        <v>323</v>
      </c>
      <c r="BN42" t="s">
        <v>83</v>
      </c>
      <c r="BO42" t="s">
        <v>84</v>
      </c>
      <c r="BQ42" t="s">
        <v>317</v>
      </c>
      <c r="BR42" s="2">
        <v>46249.706956018519</v>
      </c>
    </row>
    <row r="43" spans="1:70">
      <c r="A43" t="s">
        <v>324</v>
      </c>
      <c r="B43" t="s">
        <v>71</v>
      </c>
      <c r="C43">
        <v>200</v>
      </c>
      <c r="E43" t="s">
        <v>72</v>
      </c>
      <c r="G43" t="s">
        <v>325</v>
      </c>
      <c r="H43">
        <v>34</v>
      </c>
      <c r="I43">
        <v>345</v>
      </c>
      <c r="K43">
        <v>0</v>
      </c>
      <c r="L43">
        <v>0</v>
      </c>
      <c r="N43">
        <v>0</v>
      </c>
      <c r="O43" t="s">
        <v>326</v>
      </c>
      <c r="P43">
        <v>50</v>
      </c>
      <c r="R43">
        <v>0</v>
      </c>
      <c r="S43" t="s">
        <v>327</v>
      </c>
      <c r="T43">
        <v>76</v>
      </c>
      <c r="U43" t="s">
        <v>328</v>
      </c>
      <c r="V43">
        <v>78</v>
      </c>
      <c r="W43" t="s">
        <v>77</v>
      </c>
      <c r="Z43" t="s">
        <v>324</v>
      </c>
      <c r="AF43">
        <v>173579</v>
      </c>
      <c r="AG43">
        <v>38103</v>
      </c>
      <c r="AH43">
        <v>2273050</v>
      </c>
      <c r="AI43" s="1">
        <v>805808</v>
      </c>
      <c r="AJ43" t="s">
        <v>118</v>
      </c>
      <c r="AK43">
        <v>791</v>
      </c>
      <c r="AL43">
        <v>159</v>
      </c>
      <c r="AM43" s="1">
        <v>4975</v>
      </c>
      <c r="AN43" t="s">
        <v>79</v>
      </c>
      <c r="AO43" t="s">
        <v>80</v>
      </c>
      <c r="AP43" s="1">
        <v>3217</v>
      </c>
      <c r="AQ43">
        <v>2</v>
      </c>
      <c r="AR43">
        <v>1</v>
      </c>
      <c r="AT43">
        <v>10</v>
      </c>
      <c r="AU43">
        <v>5</v>
      </c>
      <c r="AV43">
        <v>1</v>
      </c>
      <c r="AW43" s="1">
        <v>5750</v>
      </c>
      <c r="AX43">
        <v>127</v>
      </c>
      <c r="AY43">
        <v>33</v>
      </c>
      <c r="AZ43">
        <v>1</v>
      </c>
      <c r="BA43">
        <v>16</v>
      </c>
      <c r="BB43">
        <v>8</v>
      </c>
      <c r="BC43">
        <v>3</v>
      </c>
      <c r="BH43" t="s">
        <v>329</v>
      </c>
      <c r="BI43" s="1">
        <v>3642</v>
      </c>
      <c r="BJ43" t="s">
        <v>323</v>
      </c>
      <c r="BN43" t="s">
        <v>83</v>
      </c>
      <c r="BO43" t="s">
        <v>104</v>
      </c>
      <c r="BQ43" t="s">
        <v>324</v>
      </c>
      <c r="BR43" s="2">
        <v>46249.707152777781</v>
      </c>
    </row>
    <row r="44" spans="1:70">
      <c r="A44" t="s">
        <v>330</v>
      </c>
      <c r="B44" t="s">
        <v>71</v>
      </c>
      <c r="C44">
        <v>200</v>
      </c>
      <c r="E44" t="s">
        <v>72</v>
      </c>
      <c r="G44" t="s">
        <v>331</v>
      </c>
      <c r="H44">
        <v>33</v>
      </c>
      <c r="I44">
        <v>313</v>
      </c>
      <c r="K44">
        <v>0</v>
      </c>
      <c r="L44">
        <v>0</v>
      </c>
      <c r="N44">
        <v>0</v>
      </c>
      <c r="O44" t="s">
        <v>332</v>
      </c>
      <c r="P44">
        <v>48</v>
      </c>
      <c r="R44">
        <v>0</v>
      </c>
      <c r="S44" t="s">
        <v>333</v>
      </c>
      <c r="T44">
        <v>98</v>
      </c>
      <c r="U44" t="s">
        <v>334</v>
      </c>
      <c r="V44">
        <v>87</v>
      </c>
      <c r="W44" t="s">
        <v>77</v>
      </c>
      <c r="Z44" t="s">
        <v>330</v>
      </c>
      <c r="AF44">
        <v>177253</v>
      </c>
      <c r="AG44">
        <v>37712</v>
      </c>
      <c r="AH44">
        <v>2741274</v>
      </c>
      <c r="AI44" s="1">
        <v>971795</v>
      </c>
      <c r="AJ44" t="s">
        <v>78</v>
      </c>
      <c r="AK44">
        <v>828</v>
      </c>
      <c r="AL44">
        <v>168</v>
      </c>
      <c r="AM44" s="1">
        <v>4929</v>
      </c>
      <c r="AN44" s="1">
        <v>16183</v>
      </c>
      <c r="AO44" t="s">
        <v>80</v>
      </c>
      <c r="AP44" s="1">
        <v>3061</v>
      </c>
      <c r="AQ44">
        <v>2</v>
      </c>
      <c r="AR44">
        <v>1</v>
      </c>
      <c r="AT44">
        <v>13</v>
      </c>
      <c r="AU44">
        <v>8</v>
      </c>
      <c r="AV44">
        <v>1</v>
      </c>
      <c r="AW44" s="1">
        <v>9200</v>
      </c>
      <c r="AX44">
        <v>129</v>
      </c>
      <c r="AY44">
        <v>35</v>
      </c>
      <c r="AZ44">
        <v>0</v>
      </c>
      <c r="BA44">
        <v>16</v>
      </c>
      <c r="BB44">
        <v>8</v>
      </c>
      <c r="BC44">
        <v>3</v>
      </c>
      <c r="BH44" t="s">
        <v>335</v>
      </c>
      <c r="BI44" t="s">
        <v>336</v>
      </c>
      <c r="BJ44" t="s">
        <v>337</v>
      </c>
      <c r="BN44" t="s">
        <v>83</v>
      </c>
      <c r="BO44" t="s">
        <v>84</v>
      </c>
      <c r="BQ44" t="s">
        <v>330</v>
      </c>
      <c r="BR44" s="2">
        <v>46249.707824074074</v>
      </c>
    </row>
    <row r="45" spans="1:70">
      <c r="A45" t="s">
        <v>338</v>
      </c>
      <c r="B45" t="s">
        <v>71</v>
      </c>
      <c r="C45">
        <v>200</v>
      </c>
      <c r="E45" t="s">
        <v>72</v>
      </c>
      <c r="G45" t="s">
        <v>339</v>
      </c>
      <c r="H45">
        <v>30</v>
      </c>
      <c r="I45">
        <v>302</v>
      </c>
      <c r="K45">
        <v>0</v>
      </c>
      <c r="L45">
        <v>0</v>
      </c>
      <c r="N45">
        <v>0</v>
      </c>
      <c r="O45" t="s">
        <v>340</v>
      </c>
      <c r="P45">
        <v>45</v>
      </c>
      <c r="R45">
        <v>0</v>
      </c>
      <c r="S45" t="s">
        <v>341</v>
      </c>
      <c r="T45">
        <v>58</v>
      </c>
      <c r="U45" t="s">
        <v>342</v>
      </c>
      <c r="V45">
        <v>60</v>
      </c>
      <c r="W45" t="s">
        <v>77</v>
      </c>
      <c r="Z45" t="s">
        <v>338</v>
      </c>
      <c r="AF45">
        <v>176604</v>
      </c>
      <c r="AG45">
        <v>38156</v>
      </c>
      <c r="AH45">
        <v>3323941</v>
      </c>
      <c r="AI45" s="1">
        <v>1178354</v>
      </c>
      <c r="AJ45" t="s">
        <v>78</v>
      </c>
      <c r="AK45">
        <v>776</v>
      </c>
      <c r="AL45">
        <v>157</v>
      </c>
      <c r="AM45" s="1">
        <v>4943</v>
      </c>
      <c r="AN45" s="1">
        <v>22806</v>
      </c>
      <c r="AO45" t="s">
        <v>80</v>
      </c>
      <c r="AP45" s="1">
        <v>2908</v>
      </c>
      <c r="AQ45">
        <v>2</v>
      </c>
      <c r="AR45">
        <v>1</v>
      </c>
      <c r="AT45">
        <v>13</v>
      </c>
      <c r="AU45">
        <v>8</v>
      </c>
      <c r="AV45">
        <v>1</v>
      </c>
      <c r="AW45" s="1">
        <v>9200</v>
      </c>
      <c r="AX45">
        <v>129</v>
      </c>
      <c r="AY45">
        <v>35</v>
      </c>
      <c r="AZ45">
        <v>0</v>
      </c>
      <c r="BA45">
        <v>16</v>
      </c>
      <c r="BB45">
        <v>8</v>
      </c>
      <c r="BC45">
        <v>3</v>
      </c>
      <c r="BH45" t="s">
        <v>343</v>
      </c>
      <c r="BI45" t="s">
        <v>344</v>
      </c>
      <c r="BJ45" t="s">
        <v>345</v>
      </c>
      <c r="BN45" t="s">
        <v>83</v>
      </c>
      <c r="BO45" t="s">
        <v>104</v>
      </c>
      <c r="BQ45" t="s">
        <v>338</v>
      </c>
      <c r="BR45" s="2">
        <v>46249.707812499997</v>
      </c>
    </row>
    <row r="46" spans="1:70">
      <c r="A46" t="s">
        <v>346</v>
      </c>
      <c r="B46" t="s">
        <v>71</v>
      </c>
      <c r="C46">
        <v>200</v>
      </c>
      <c r="E46" t="s">
        <v>72</v>
      </c>
      <c r="G46" t="s">
        <v>347</v>
      </c>
      <c r="H46">
        <v>31</v>
      </c>
      <c r="I46">
        <v>310</v>
      </c>
      <c r="K46">
        <v>0</v>
      </c>
      <c r="L46">
        <v>0</v>
      </c>
      <c r="N46">
        <v>0</v>
      </c>
      <c r="O46" t="s">
        <v>348</v>
      </c>
      <c r="P46">
        <v>46</v>
      </c>
      <c r="R46">
        <v>0</v>
      </c>
      <c r="S46" t="s">
        <v>349</v>
      </c>
      <c r="T46">
        <v>61</v>
      </c>
      <c r="U46" t="s">
        <v>350</v>
      </c>
      <c r="V46">
        <v>81</v>
      </c>
      <c r="W46" t="s">
        <v>77</v>
      </c>
      <c r="Z46" t="s">
        <v>346</v>
      </c>
      <c r="AF46">
        <v>173836</v>
      </c>
      <c r="AG46">
        <v>38024</v>
      </c>
      <c r="AH46">
        <v>3163009</v>
      </c>
      <c r="AI46" s="1">
        <v>1121303</v>
      </c>
      <c r="AJ46" t="s">
        <v>78</v>
      </c>
      <c r="AK46">
        <v>780</v>
      </c>
      <c r="AL46">
        <v>156</v>
      </c>
      <c r="AM46" s="1">
        <v>5000</v>
      </c>
      <c r="AN46" s="1">
        <v>6963</v>
      </c>
      <c r="AO46" t="s">
        <v>80</v>
      </c>
      <c r="AP46" s="1">
        <v>3012</v>
      </c>
      <c r="AQ46">
        <v>2</v>
      </c>
      <c r="AR46">
        <v>1</v>
      </c>
      <c r="AT46">
        <v>13</v>
      </c>
      <c r="AU46">
        <v>8</v>
      </c>
      <c r="AV46">
        <v>1</v>
      </c>
      <c r="AW46" s="1">
        <v>9200</v>
      </c>
      <c r="AX46">
        <v>127</v>
      </c>
      <c r="AY46">
        <v>35</v>
      </c>
      <c r="AZ46">
        <v>0</v>
      </c>
      <c r="BA46">
        <v>16</v>
      </c>
      <c r="BB46">
        <v>8</v>
      </c>
      <c r="BC46">
        <v>3</v>
      </c>
      <c r="BH46" t="s">
        <v>351</v>
      </c>
      <c r="BI46" t="s">
        <v>352</v>
      </c>
      <c r="BJ46" t="s">
        <v>353</v>
      </c>
      <c r="BN46" t="s">
        <v>83</v>
      </c>
      <c r="BO46" t="s">
        <v>104</v>
      </c>
      <c r="BQ46" t="s">
        <v>346</v>
      </c>
      <c r="BR46" s="2">
        <v>46249.707824074074</v>
      </c>
    </row>
    <row r="47" spans="1:70">
      <c r="A47" t="s">
        <v>354</v>
      </c>
      <c r="B47" t="s">
        <v>71</v>
      </c>
      <c r="C47">
        <v>200</v>
      </c>
      <c r="E47" t="s">
        <v>72</v>
      </c>
      <c r="G47" t="s">
        <v>355</v>
      </c>
      <c r="H47">
        <v>34</v>
      </c>
      <c r="I47">
        <v>323</v>
      </c>
      <c r="K47">
        <v>0</v>
      </c>
      <c r="L47">
        <v>0</v>
      </c>
      <c r="N47">
        <v>0</v>
      </c>
      <c r="O47" t="s">
        <v>356</v>
      </c>
      <c r="P47">
        <v>44</v>
      </c>
      <c r="R47">
        <v>0</v>
      </c>
      <c r="S47" t="s">
        <v>357</v>
      </c>
      <c r="T47">
        <v>86</v>
      </c>
      <c r="U47" t="s">
        <v>358</v>
      </c>
      <c r="V47">
        <v>81</v>
      </c>
      <c r="W47" t="s">
        <v>77</v>
      </c>
      <c r="Z47" t="s">
        <v>354</v>
      </c>
      <c r="AF47">
        <v>171868</v>
      </c>
      <c r="AG47">
        <v>37542</v>
      </c>
      <c r="AH47">
        <v>2797898</v>
      </c>
      <c r="AI47" s="1">
        <v>991869</v>
      </c>
      <c r="AJ47" t="s">
        <v>78</v>
      </c>
      <c r="AK47">
        <v>828</v>
      </c>
      <c r="AL47">
        <v>168</v>
      </c>
      <c r="AM47" s="1">
        <v>4929</v>
      </c>
      <c r="AN47" t="s">
        <v>79</v>
      </c>
      <c r="AO47" t="s">
        <v>80</v>
      </c>
      <c r="AP47" s="1">
        <v>3395</v>
      </c>
      <c r="AQ47">
        <v>2</v>
      </c>
      <c r="AR47">
        <v>1</v>
      </c>
      <c r="AT47">
        <v>10</v>
      </c>
      <c r="AU47">
        <v>5</v>
      </c>
      <c r="AV47">
        <v>1</v>
      </c>
      <c r="AW47" s="1">
        <v>5750</v>
      </c>
      <c r="AX47">
        <v>127</v>
      </c>
      <c r="AY47">
        <v>33</v>
      </c>
      <c r="AZ47">
        <v>1</v>
      </c>
      <c r="BA47">
        <v>16</v>
      </c>
      <c r="BB47">
        <v>8</v>
      </c>
      <c r="BC47">
        <v>3</v>
      </c>
      <c r="BH47" t="s">
        <v>359</v>
      </c>
      <c r="BI47" s="1">
        <v>4114</v>
      </c>
      <c r="BJ47" t="s">
        <v>360</v>
      </c>
      <c r="BN47" t="s">
        <v>83</v>
      </c>
      <c r="BO47" t="s">
        <v>84</v>
      </c>
      <c r="BQ47" t="s">
        <v>354</v>
      </c>
      <c r="BR47" s="2">
        <v>46249.707824074074</v>
      </c>
    </row>
    <row r="48" spans="1:70">
      <c r="A48" t="s">
        <v>361</v>
      </c>
      <c r="B48" t="s">
        <v>71</v>
      </c>
      <c r="C48">
        <v>200</v>
      </c>
      <c r="E48" t="s">
        <v>72</v>
      </c>
      <c r="G48" t="s">
        <v>362</v>
      </c>
      <c r="H48">
        <v>33</v>
      </c>
      <c r="I48">
        <v>312</v>
      </c>
      <c r="K48">
        <v>0</v>
      </c>
      <c r="L48">
        <v>0</v>
      </c>
      <c r="N48">
        <v>0</v>
      </c>
      <c r="O48" t="s">
        <v>363</v>
      </c>
      <c r="P48">
        <v>21</v>
      </c>
      <c r="Q48" t="s">
        <v>364</v>
      </c>
      <c r="R48">
        <v>43</v>
      </c>
      <c r="S48" t="s">
        <v>365</v>
      </c>
      <c r="T48">
        <v>57</v>
      </c>
      <c r="U48" t="s">
        <v>366</v>
      </c>
      <c r="V48">
        <v>83</v>
      </c>
      <c r="W48" t="s">
        <v>77</v>
      </c>
      <c r="Z48" t="s">
        <v>361</v>
      </c>
      <c r="AF48">
        <v>174443</v>
      </c>
      <c r="AG48">
        <v>37348</v>
      </c>
      <c r="AH48">
        <v>2559348</v>
      </c>
      <c r="AI48" s="1">
        <v>907302</v>
      </c>
      <c r="AJ48" t="s">
        <v>78</v>
      </c>
      <c r="AK48">
        <v>746</v>
      </c>
      <c r="AL48">
        <v>155</v>
      </c>
      <c r="AM48" s="1">
        <v>4813</v>
      </c>
      <c r="AN48" s="1">
        <v>16193</v>
      </c>
      <c r="AO48" t="s">
        <v>80</v>
      </c>
      <c r="AP48" s="1">
        <v>2901</v>
      </c>
      <c r="AQ48">
        <v>2</v>
      </c>
      <c r="AR48">
        <v>1</v>
      </c>
      <c r="AT48">
        <v>13</v>
      </c>
      <c r="AU48">
        <v>8</v>
      </c>
      <c r="AV48">
        <v>1</v>
      </c>
      <c r="AW48" s="1">
        <v>9200</v>
      </c>
      <c r="AX48">
        <v>129</v>
      </c>
      <c r="AY48">
        <v>35</v>
      </c>
      <c r="AZ48">
        <v>0</v>
      </c>
      <c r="BA48">
        <v>16</v>
      </c>
      <c r="BB48">
        <v>9</v>
      </c>
      <c r="BC48">
        <v>3</v>
      </c>
      <c r="BH48" t="s">
        <v>367</v>
      </c>
      <c r="BI48" t="s">
        <v>368</v>
      </c>
      <c r="BJ48" t="s">
        <v>353</v>
      </c>
      <c r="BN48" t="s">
        <v>83</v>
      </c>
      <c r="BO48" t="s">
        <v>84</v>
      </c>
      <c r="BQ48" t="s">
        <v>361</v>
      </c>
      <c r="BR48" s="2">
        <v>46249.707824074074</v>
      </c>
    </row>
    <row r="49" spans="1:70">
      <c r="A49" t="s">
        <v>369</v>
      </c>
      <c r="B49" t="s">
        <v>71</v>
      </c>
      <c r="C49">
        <v>200</v>
      </c>
      <c r="E49" t="s">
        <v>72</v>
      </c>
      <c r="G49" t="s">
        <v>370</v>
      </c>
      <c r="H49">
        <v>32</v>
      </c>
      <c r="I49">
        <v>313</v>
      </c>
      <c r="K49">
        <v>0</v>
      </c>
      <c r="L49">
        <v>0</v>
      </c>
      <c r="N49">
        <v>0</v>
      </c>
      <c r="O49" t="s">
        <v>371</v>
      </c>
      <c r="P49">
        <v>47</v>
      </c>
      <c r="R49">
        <v>0</v>
      </c>
      <c r="S49" t="s">
        <v>372</v>
      </c>
      <c r="T49">
        <v>86</v>
      </c>
      <c r="U49" t="s">
        <v>373</v>
      </c>
      <c r="V49">
        <v>85</v>
      </c>
      <c r="W49" t="s">
        <v>77</v>
      </c>
      <c r="Z49" t="s">
        <v>369</v>
      </c>
      <c r="AF49">
        <v>183632</v>
      </c>
      <c r="AG49">
        <v>39111</v>
      </c>
      <c r="AH49">
        <v>3027622</v>
      </c>
      <c r="AI49" s="1">
        <v>1073307</v>
      </c>
      <c r="AJ49" t="s">
        <v>78</v>
      </c>
      <c r="AK49">
        <v>1171</v>
      </c>
      <c r="AL49">
        <v>220</v>
      </c>
      <c r="AM49" s="1">
        <v>5323</v>
      </c>
      <c r="AN49" s="1">
        <v>4996</v>
      </c>
      <c r="AO49" t="s">
        <v>80</v>
      </c>
      <c r="AP49" s="1">
        <v>3966</v>
      </c>
      <c r="AQ49">
        <v>2</v>
      </c>
      <c r="AR49">
        <v>1</v>
      </c>
      <c r="AT49">
        <v>13</v>
      </c>
      <c r="AU49">
        <v>8</v>
      </c>
      <c r="AV49">
        <v>1</v>
      </c>
      <c r="AW49" s="1">
        <v>9200</v>
      </c>
      <c r="AX49">
        <v>129</v>
      </c>
      <c r="AY49">
        <v>35</v>
      </c>
      <c r="AZ49">
        <v>0</v>
      </c>
      <c r="BA49">
        <v>16</v>
      </c>
      <c r="BB49">
        <v>8</v>
      </c>
      <c r="BC49">
        <v>3</v>
      </c>
      <c r="BH49" t="s">
        <v>374</v>
      </c>
      <c r="BI49" t="s">
        <v>375</v>
      </c>
      <c r="BJ49" t="s">
        <v>376</v>
      </c>
      <c r="BN49" t="s">
        <v>83</v>
      </c>
      <c r="BO49" t="s">
        <v>104</v>
      </c>
      <c r="BQ49" t="s">
        <v>369</v>
      </c>
      <c r="BR49" s="2">
        <v>46249.708032407405</v>
      </c>
    </row>
    <row r="50" spans="1:70">
      <c r="A50" t="s">
        <v>377</v>
      </c>
      <c r="B50" t="s">
        <v>71</v>
      </c>
      <c r="C50">
        <v>404</v>
      </c>
      <c r="E50" t="s">
        <v>87</v>
      </c>
      <c r="F50" t="s">
        <v>88</v>
      </c>
      <c r="H50">
        <v>0</v>
      </c>
      <c r="I50">
        <v>0</v>
      </c>
      <c r="K50">
        <v>0</v>
      </c>
      <c r="L50">
        <v>0</v>
      </c>
      <c r="N50">
        <v>0</v>
      </c>
      <c r="P50">
        <v>0</v>
      </c>
      <c r="R50">
        <v>0</v>
      </c>
      <c r="T50">
        <v>0</v>
      </c>
      <c r="V50">
        <v>0</v>
      </c>
      <c r="AF50">
        <v>120689</v>
      </c>
      <c r="AG50">
        <v>28494</v>
      </c>
      <c r="AH50">
        <v>881373</v>
      </c>
      <c r="AI50" s="1">
        <v>312451</v>
      </c>
      <c r="AJ50" t="s">
        <v>94</v>
      </c>
      <c r="AK50">
        <v>0</v>
      </c>
      <c r="AP50" t="s">
        <v>79</v>
      </c>
      <c r="AQ50">
        <v>2</v>
      </c>
      <c r="AR50">
        <v>2</v>
      </c>
      <c r="AT50">
        <v>2</v>
      </c>
      <c r="AU50">
        <v>1</v>
      </c>
      <c r="AV50">
        <v>0</v>
      </c>
      <c r="AW50" s="1">
        <v>1150</v>
      </c>
      <c r="AX50">
        <v>0</v>
      </c>
      <c r="AY50">
        <v>0</v>
      </c>
      <c r="AZ50">
        <v>0</v>
      </c>
      <c r="BA50">
        <v>0</v>
      </c>
      <c r="BB50">
        <v>0</v>
      </c>
      <c r="BC50">
        <v>0</v>
      </c>
      <c r="BI50" s="1">
        <v>2582</v>
      </c>
      <c r="BO50" t="s">
        <v>84</v>
      </c>
      <c r="BQ50" t="s">
        <v>377</v>
      </c>
      <c r="BR50" s="2">
        <v>46249.708124999997</v>
      </c>
    </row>
    <row r="51" spans="1:70">
      <c r="A51" t="s">
        <v>378</v>
      </c>
      <c r="B51" t="s">
        <v>71</v>
      </c>
      <c r="C51">
        <v>404</v>
      </c>
      <c r="E51" t="s">
        <v>87</v>
      </c>
      <c r="F51" t="s">
        <v>88</v>
      </c>
      <c r="H51">
        <v>0</v>
      </c>
      <c r="I51">
        <v>0</v>
      </c>
      <c r="K51">
        <v>0</v>
      </c>
      <c r="L51">
        <v>0</v>
      </c>
      <c r="N51">
        <v>0</v>
      </c>
      <c r="P51">
        <v>0</v>
      </c>
      <c r="R51">
        <v>0</v>
      </c>
      <c r="T51">
        <v>0</v>
      </c>
      <c r="V51">
        <v>0</v>
      </c>
      <c r="AF51">
        <v>120645</v>
      </c>
      <c r="AG51">
        <v>28695</v>
      </c>
      <c r="AH51">
        <v>898424</v>
      </c>
      <c r="AI51" s="1">
        <v>318496</v>
      </c>
      <c r="AJ51" t="s">
        <v>94</v>
      </c>
      <c r="AK51">
        <v>0</v>
      </c>
      <c r="AP51" t="s">
        <v>79</v>
      </c>
      <c r="AQ51">
        <v>2</v>
      </c>
      <c r="AR51">
        <v>2</v>
      </c>
      <c r="AT51">
        <v>2</v>
      </c>
      <c r="AU51">
        <v>1</v>
      </c>
      <c r="AV51">
        <v>0</v>
      </c>
      <c r="AW51" s="1">
        <v>1150</v>
      </c>
      <c r="AX51">
        <v>0</v>
      </c>
      <c r="AY51">
        <v>0</v>
      </c>
      <c r="AZ51">
        <v>0</v>
      </c>
      <c r="BA51">
        <v>0</v>
      </c>
      <c r="BB51">
        <v>0</v>
      </c>
      <c r="BC51">
        <v>0</v>
      </c>
      <c r="BI51" s="1">
        <v>2950</v>
      </c>
      <c r="BO51" t="s">
        <v>104</v>
      </c>
      <c r="BQ51" t="s">
        <v>378</v>
      </c>
      <c r="BR51" s="2">
        <v>46249.708124999997</v>
      </c>
    </row>
    <row r="52" spans="1:70">
      <c r="A52" t="s">
        <v>379</v>
      </c>
      <c r="B52" t="s">
        <v>71</v>
      </c>
      <c r="C52">
        <v>404</v>
      </c>
      <c r="E52" t="s">
        <v>87</v>
      </c>
      <c r="F52" t="s">
        <v>88</v>
      </c>
      <c r="H52">
        <v>0</v>
      </c>
      <c r="I52">
        <v>0</v>
      </c>
      <c r="K52">
        <v>0</v>
      </c>
      <c r="L52">
        <v>0</v>
      </c>
      <c r="N52">
        <v>0</v>
      </c>
      <c r="P52">
        <v>0</v>
      </c>
      <c r="R52">
        <v>0</v>
      </c>
      <c r="T52">
        <v>0</v>
      </c>
      <c r="V52">
        <v>0</v>
      </c>
      <c r="AF52">
        <v>120640</v>
      </c>
      <c r="AG52">
        <v>28693</v>
      </c>
      <c r="AH52">
        <v>898387</v>
      </c>
      <c r="AI52" s="1">
        <v>318483</v>
      </c>
      <c r="AJ52" t="s">
        <v>94</v>
      </c>
      <c r="AK52">
        <v>0</v>
      </c>
      <c r="AP52" t="s">
        <v>79</v>
      </c>
      <c r="AQ52">
        <v>2</v>
      </c>
      <c r="AR52">
        <v>1</v>
      </c>
      <c r="AT52">
        <v>6</v>
      </c>
      <c r="AU52">
        <v>2</v>
      </c>
      <c r="AV52">
        <v>1</v>
      </c>
      <c r="AW52" s="1">
        <v>2300</v>
      </c>
      <c r="AX52">
        <v>0</v>
      </c>
      <c r="AY52">
        <v>0</v>
      </c>
      <c r="AZ52">
        <v>0</v>
      </c>
      <c r="BA52">
        <v>0</v>
      </c>
      <c r="BB52">
        <v>0</v>
      </c>
      <c r="BC52">
        <v>0</v>
      </c>
      <c r="BI52" s="1">
        <v>2858</v>
      </c>
      <c r="BO52" t="s">
        <v>104</v>
      </c>
      <c r="BQ52" t="s">
        <v>379</v>
      </c>
      <c r="BR52" s="2">
        <v>46249.70815972222</v>
      </c>
    </row>
    <row r="53" spans="1:70">
      <c r="A53" t="s">
        <v>380</v>
      </c>
      <c r="B53" t="s">
        <v>71</v>
      </c>
      <c r="C53">
        <v>200</v>
      </c>
      <c r="E53" t="s">
        <v>72</v>
      </c>
      <c r="G53" t="s">
        <v>381</v>
      </c>
      <c r="H53">
        <v>35</v>
      </c>
      <c r="I53">
        <v>320</v>
      </c>
      <c r="K53">
        <v>0</v>
      </c>
      <c r="L53">
        <v>0</v>
      </c>
      <c r="N53">
        <v>0</v>
      </c>
      <c r="O53" t="s">
        <v>382</v>
      </c>
      <c r="P53">
        <v>50</v>
      </c>
      <c r="R53">
        <v>0</v>
      </c>
      <c r="S53" t="s">
        <v>383</v>
      </c>
      <c r="T53">
        <v>75</v>
      </c>
      <c r="U53" t="s">
        <v>384</v>
      </c>
      <c r="V53">
        <v>82</v>
      </c>
      <c r="W53" t="s">
        <v>77</v>
      </c>
      <c r="Z53" t="s">
        <v>380</v>
      </c>
      <c r="AF53">
        <v>176659</v>
      </c>
      <c r="AG53">
        <v>37812</v>
      </c>
      <c r="AH53">
        <v>2187451</v>
      </c>
      <c r="AI53" s="1">
        <v>775462</v>
      </c>
      <c r="AJ53" t="s">
        <v>118</v>
      </c>
      <c r="AK53">
        <v>828</v>
      </c>
      <c r="AL53">
        <v>168</v>
      </c>
      <c r="AM53" s="1">
        <v>4929</v>
      </c>
      <c r="AN53" s="1">
        <v>14241</v>
      </c>
      <c r="AO53" t="s">
        <v>80</v>
      </c>
      <c r="AP53" s="1">
        <v>3102</v>
      </c>
      <c r="AQ53">
        <v>2</v>
      </c>
      <c r="AR53">
        <v>1</v>
      </c>
      <c r="AT53">
        <v>13</v>
      </c>
      <c r="AU53">
        <v>8</v>
      </c>
      <c r="AV53">
        <v>1</v>
      </c>
      <c r="AW53" s="1">
        <v>9200</v>
      </c>
      <c r="AX53">
        <v>127</v>
      </c>
      <c r="AY53">
        <v>35</v>
      </c>
      <c r="AZ53">
        <v>0</v>
      </c>
      <c r="BA53">
        <v>16</v>
      </c>
      <c r="BB53">
        <v>8</v>
      </c>
      <c r="BC53">
        <v>3</v>
      </c>
      <c r="BH53" t="s">
        <v>385</v>
      </c>
      <c r="BI53" s="1">
        <v>2343</v>
      </c>
      <c r="BJ53" t="s">
        <v>386</v>
      </c>
      <c r="BN53" t="s">
        <v>83</v>
      </c>
      <c r="BO53" t="s">
        <v>84</v>
      </c>
      <c r="BQ53" t="s">
        <v>380</v>
      </c>
      <c r="BR53" s="2">
        <v>46249.708078703705</v>
      </c>
    </row>
    <row r="54" spans="1:70">
      <c r="A54" t="s">
        <v>387</v>
      </c>
      <c r="B54" t="s">
        <v>207</v>
      </c>
      <c r="C54">
        <v>302</v>
      </c>
      <c r="D54" t="s">
        <v>388</v>
      </c>
      <c r="E54" t="s">
        <v>87</v>
      </c>
      <c r="F54" t="s">
        <v>389</v>
      </c>
      <c r="H54">
        <v>0</v>
      </c>
      <c r="I54">
        <v>0</v>
      </c>
      <c r="K54">
        <v>0</v>
      </c>
      <c r="L54">
        <v>0</v>
      </c>
      <c r="N54">
        <v>0</v>
      </c>
      <c r="P54">
        <v>0</v>
      </c>
      <c r="R54">
        <v>0</v>
      </c>
      <c r="T54">
        <v>0</v>
      </c>
      <c r="V54">
        <v>0</v>
      </c>
      <c r="AF54">
        <v>0</v>
      </c>
      <c r="AG54">
        <v>0</v>
      </c>
      <c r="AH54">
        <v>0</v>
      </c>
      <c r="AI54" t="s">
        <v>79</v>
      </c>
      <c r="AJ54" t="s">
        <v>89</v>
      </c>
      <c r="AK54">
        <v>0</v>
      </c>
      <c r="AP54" t="s">
        <v>79</v>
      </c>
      <c r="AQ54">
        <v>2</v>
      </c>
      <c r="AR54">
        <v>1</v>
      </c>
      <c r="AT54">
        <v>10</v>
      </c>
      <c r="AU54">
        <v>10</v>
      </c>
      <c r="AV54">
        <v>0</v>
      </c>
      <c r="AW54" s="1">
        <v>11490</v>
      </c>
      <c r="AX54">
        <v>0</v>
      </c>
      <c r="AY54">
        <v>0</v>
      </c>
      <c r="AZ54">
        <v>0</v>
      </c>
      <c r="BA54">
        <v>0</v>
      </c>
      <c r="BB54">
        <v>0</v>
      </c>
      <c r="BC54">
        <v>0</v>
      </c>
      <c r="BI54" t="s">
        <v>390</v>
      </c>
      <c r="BK54" t="s">
        <v>206</v>
      </c>
      <c r="BL54" t="s">
        <v>391</v>
      </c>
      <c r="BQ54" t="s">
        <v>387</v>
      </c>
      <c r="BR54" s="2">
        <v>46249.708287037036</v>
      </c>
    </row>
    <row r="55" spans="1:70">
      <c r="A55" t="s">
        <v>392</v>
      </c>
      <c r="B55" t="s">
        <v>207</v>
      </c>
      <c r="C55">
        <v>200</v>
      </c>
      <c r="E55" t="s">
        <v>72</v>
      </c>
      <c r="G55" t="s">
        <v>208</v>
      </c>
      <c r="H55">
        <v>27</v>
      </c>
      <c r="I55">
        <v>262</v>
      </c>
      <c r="K55">
        <v>0</v>
      </c>
      <c r="L55">
        <v>0</v>
      </c>
      <c r="N55">
        <v>0</v>
      </c>
      <c r="O55" t="s">
        <v>393</v>
      </c>
      <c r="P55">
        <v>28</v>
      </c>
      <c r="R55">
        <v>0</v>
      </c>
      <c r="T55">
        <v>0</v>
      </c>
      <c r="V55">
        <v>0</v>
      </c>
      <c r="AF55">
        <v>253823</v>
      </c>
      <c r="AG55">
        <v>22282</v>
      </c>
      <c r="AH55">
        <v>1029809</v>
      </c>
      <c r="AI55" s="1">
        <v>365072</v>
      </c>
      <c r="AJ55" t="s">
        <v>210</v>
      </c>
      <c r="AK55">
        <v>2221</v>
      </c>
      <c r="AL55">
        <v>564</v>
      </c>
      <c r="AM55" s="1">
        <v>3938</v>
      </c>
      <c r="AN55" s="1">
        <v>100000</v>
      </c>
      <c r="AO55" t="s">
        <v>394</v>
      </c>
      <c r="AP55" s="1">
        <v>6581</v>
      </c>
      <c r="AQ55">
        <v>2</v>
      </c>
      <c r="AR55">
        <v>1</v>
      </c>
      <c r="AT55">
        <v>2</v>
      </c>
      <c r="AU55">
        <v>2</v>
      </c>
      <c r="AV55">
        <v>0</v>
      </c>
      <c r="AW55" s="1">
        <v>2300</v>
      </c>
      <c r="AX55">
        <v>7</v>
      </c>
      <c r="AY55">
        <v>6</v>
      </c>
      <c r="AZ55">
        <v>0</v>
      </c>
      <c r="BA55">
        <v>2</v>
      </c>
      <c r="BB55">
        <v>2</v>
      </c>
      <c r="BC55">
        <v>0</v>
      </c>
      <c r="BH55" t="s">
        <v>395</v>
      </c>
      <c r="BI55" t="s">
        <v>171</v>
      </c>
      <c r="BN55" t="s">
        <v>214</v>
      </c>
      <c r="BO55" t="s">
        <v>84</v>
      </c>
      <c r="BQ55" t="s">
        <v>392</v>
      </c>
      <c r="BR55" s="2">
        <v>46249.708252314813</v>
      </c>
    </row>
    <row r="56" spans="1:70">
      <c r="A56" t="s">
        <v>396</v>
      </c>
      <c r="B56" t="s">
        <v>207</v>
      </c>
      <c r="C56">
        <v>200</v>
      </c>
      <c r="E56" t="s">
        <v>72</v>
      </c>
      <c r="G56" t="s">
        <v>208</v>
      </c>
      <c r="H56">
        <v>27</v>
      </c>
      <c r="I56">
        <v>262</v>
      </c>
      <c r="K56">
        <v>0</v>
      </c>
      <c r="L56">
        <v>0</v>
      </c>
      <c r="N56">
        <v>0</v>
      </c>
      <c r="O56" t="s">
        <v>397</v>
      </c>
      <c r="P56">
        <v>28</v>
      </c>
      <c r="R56">
        <v>0</v>
      </c>
      <c r="T56">
        <v>0</v>
      </c>
      <c r="V56">
        <v>0</v>
      </c>
      <c r="AF56">
        <v>259579</v>
      </c>
      <c r="AG56">
        <v>22627</v>
      </c>
      <c r="AH56">
        <v>1028163</v>
      </c>
      <c r="AI56" s="1">
        <v>364489</v>
      </c>
      <c r="AJ56" t="s">
        <v>210</v>
      </c>
      <c r="AK56">
        <v>2220</v>
      </c>
      <c r="AL56">
        <v>563</v>
      </c>
      <c r="AM56" s="1">
        <v>3943</v>
      </c>
      <c r="AN56" s="1">
        <v>100000</v>
      </c>
      <c r="AO56" t="s">
        <v>394</v>
      </c>
      <c r="AP56" s="1">
        <v>6199</v>
      </c>
      <c r="AQ56">
        <v>2</v>
      </c>
      <c r="AR56">
        <v>1</v>
      </c>
      <c r="AT56">
        <v>2</v>
      </c>
      <c r="AU56">
        <v>2</v>
      </c>
      <c r="AV56">
        <v>0</v>
      </c>
      <c r="AW56" s="1">
        <v>2300</v>
      </c>
      <c r="AX56">
        <v>7</v>
      </c>
      <c r="AY56">
        <v>6</v>
      </c>
      <c r="AZ56">
        <v>0</v>
      </c>
      <c r="BA56">
        <v>2</v>
      </c>
      <c r="BB56">
        <v>2</v>
      </c>
      <c r="BC56">
        <v>0</v>
      </c>
      <c r="BH56" t="s">
        <v>398</v>
      </c>
      <c r="BI56" t="s">
        <v>399</v>
      </c>
      <c r="BN56" t="s">
        <v>214</v>
      </c>
      <c r="BO56" t="s">
        <v>84</v>
      </c>
      <c r="BQ56" t="s">
        <v>396</v>
      </c>
      <c r="BR56" s="2">
        <v>46249.708287037036</v>
      </c>
    </row>
    <row r="57" spans="1:70">
      <c r="A57" t="s">
        <v>400</v>
      </c>
      <c r="B57" t="s">
        <v>207</v>
      </c>
      <c r="C57">
        <v>302</v>
      </c>
      <c r="D57" t="s">
        <v>388</v>
      </c>
      <c r="E57" t="s">
        <v>87</v>
      </c>
      <c r="F57" t="s">
        <v>389</v>
      </c>
      <c r="H57">
        <v>0</v>
      </c>
      <c r="I57">
        <v>0</v>
      </c>
      <c r="K57">
        <v>0</v>
      </c>
      <c r="L57">
        <v>0</v>
      </c>
      <c r="N57">
        <v>0</v>
      </c>
      <c r="P57">
        <v>0</v>
      </c>
      <c r="R57">
        <v>0</v>
      </c>
      <c r="T57">
        <v>0</v>
      </c>
      <c r="V57">
        <v>0</v>
      </c>
      <c r="AF57">
        <v>0</v>
      </c>
      <c r="AG57">
        <v>0</v>
      </c>
      <c r="AH57">
        <v>0</v>
      </c>
      <c r="AI57" t="s">
        <v>79</v>
      </c>
      <c r="AJ57" t="s">
        <v>89</v>
      </c>
      <c r="AK57">
        <v>0</v>
      </c>
      <c r="AP57" t="s">
        <v>79</v>
      </c>
      <c r="AQ57">
        <v>2</v>
      </c>
      <c r="AR57">
        <v>1</v>
      </c>
      <c r="AT57">
        <v>10</v>
      </c>
      <c r="AU57">
        <v>10</v>
      </c>
      <c r="AV57">
        <v>0</v>
      </c>
      <c r="AW57" s="1">
        <v>11490</v>
      </c>
      <c r="AX57">
        <v>0</v>
      </c>
      <c r="AY57">
        <v>0</v>
      </c>
      <c r="AZ57">
        <v>0</v>
      </c>
      <c r="BA57">
        <v>0</v>
      </c>
      <c r="BB57">
        <v>0</v>
      </c>
      <c r="BC57">
        <v>0</v>
      </c>
      <c r="BI57" t="s">
        <v>401</v>
      </c>
      <c r="BK57" t="s">
        <v>206</v>
      </c>
      <c r="BL57" t="s">
        <v>391</v>
      </c>
      <c r="BQ57" t="s">
        <v>400</v>
      </c>
      <c r="BR57" s="2">
        <v>46249.708449074074</v>
      </c>
    </row>
    <row r="58" spans="1:70">
      <c r="A58" t="s">
        <v>402</v>
      </c>
      <c r="B58" t="s">
        <v>207</v>
      </c>
      <c r="C58">
        <v>200</v>
      </c>
      <c r="E58" t="s">
        <v>72</v>
      </c>
      <c r="G58" t="s">
        <v>208</v>
      </c>
      <c r="H58">
        <v>27</v>
      </c>
      <c r="I58">
        <v>262</v>
      </c>
      <c r="K58">
        <v>0</v>
      </c>
      <c r="L58">
        <v>0</v>
      </c>
      <c r="N58">
        <v>0</v>
      </c>
      <c r="O58" t="s">
        <v>403</v>
      </c>
      <c r="P58">
        <v>24</v>
      </c>
      <c r="R58">
        <v>0</v>
      </c>
      <c r="T58">
        <v>0</v>
      </c>
      <c r="V58">
        <v>0</v>
      </c>
      <c r="AF58">
        <v>252198</v>
      </c>
      <c r="AG58">
        <v>22094</v>
      </c>
      <c r="AH58">
        <v>1029617</v>
      </c>
      <c r="AI58" s="1">
        <v>365004</v>
      </c>
      <c r="AJ58" t="s">
        <v>210</v>
      </c>
      <c r="AK58">
        <v>2211</v>
      </c>
      <c r="AL58">
        <v>561</v>
      </c>
      <c r="AM58" s="1">
        <v>3941</v>
      </c>
      <c r="AN58" s="1">
        <v>100000</v>
      </c>
      <c r="AO58" t="s">
        <v>394</v>
      </c>
      <c r="AP58" s="1">
        <v>6582</v>
      </c>
      <c r="AQ58">
        <v>2</v>
      </c>
      <c r="AR58">
        <v>1</v>
      </c>
      <c r="AT58">
        <v>2</v>
      </c>
      <c r="AU58">
        <v>2</v>
      </c>
      <c r="AV58">
        <v>0</v>
      </c>
      <c r="AW58" s="1">
        <v>2300</v>
      </c>
      <c r="AX58">
        <v>7</v>
      </c>
      <c r="AY58">
        <v>6</v>
      </c>
      <c r="AZ58">
        <v>0</v>
      </c>
      <c r="BA58">
        <v>2</v>
      </c>
      <c r="BB58">
        <v>2</v>
      </c>
      <c r="BC58">
        <v>0</v>
      </c>
      <c r="BH58" t="s">
        <v>404</v>
      </c>
      <c r="BI58" s="1">
        <v>2093</v>
      </c>
      <c r="BN58" t="s">
        <v>214</v>
      </c>
      <c r="BO58" t="s">
        <v>84</v>
      </c>
      <c r="BQ58" t="s">
        <v>402</v>
      </c>
      <c r="BR58" s="2">
        <v>46249.708287037036</v>
      </c>
    </row>
    <row r="59" spans="1:70">
      <c r="A59" t="s">
        <v>405</v>
      </c>
      <c r="B59" t="s">
        <v>71</v>
      </c>
      <c r="C59">
        <v>200</v>
      </c>
      <c r="E59" t="s">
        <v>87</v>
      </c>
      <c r="F59" t="s">
        <v>406</v>
      </c>
      <c r="G59" t="s">
        <v>216</v>
      </c>
      <c r="H59">
        <v>29</v>
      </c>
      <c r="I59">
        <v>270</v>
      </c>
      <c r="K59">
        <v>0</v>
      </c>
      <c r="L59">
        <v>0</v>
      </c>
      <c r="N59">
        <v>0</v>
      </c>
      <c r="O59" t="s">
        <v>191</v>
      </c>
      <c r="P59">
        <v>43</v>
      </c>
      <c r="R59">
        <v>0</v>
      </c>
      <c r="S59" t="s">
        <v>217</v>
      </c>
      <c r="T59">
        <v>51</v>
      </c>
      <c r="U59" t="s">
        <v>218</v>
      </c>
      <c r="V59">
        <v>9</v>
      </c>
      <c r="W59" t="s">
        <v>77</v>
      </c>
      <c r="Z59" t="s">
        <v>215</v>
      </c>
      <c r="AF59">
        <v>140204</v>
      </c>
      <c r="AG59">
        <v>32403</v>
      </c>
      <c r="AH59">
        <v>2411451</v>
      </c>
      <c r="AI59" s="1">
        <v>854871</v>
      </c>
      <c r="AJ59" t="s">
        <v>78</v>
      </c>
      <c r="AK59">
        <v>89</v>
      </c>
      <c r="AL59">
        <v>29</v>
      </c>
      <c r="AM59" s="1">
        <v>3069</v>
      </c>
      <c r="AN59" t="s">
        <v>79</v>
      </c>
      <c r="AO59" t="s">
        <v>80</v>
      </c>
      <c r="AP59" s="1">
        <v>1222</v>
      </c>
      <c r="AQ59">
        <v>2</v>
      </c>
      <c r="AR59">
        <v>2</v>
      </c>
      <c r="AT59">
        <v>7</v>
      </c>
      <c r="AU59">
        <v>3</v>
      </c>
      <c r="AV59">
        <v>1</v>
      </c>
      <c r="AW59" s="1">
        <v>3450</v>
      </c>
      <c r="AX59">
        <v>116</v>
      </c>
      <c r="AY59">
        <v>32</v>
      </c>
      <c r="AZ59">
        <v>0</v>
      </c>
      <c r="BA59">
        <v>8</v>
      </c>
      <c r="BB59">
        <v>7</v>
      </c>
      <c r="BC59">
        <v>2</v>
      </c>
      <c r="BH59" t="s">
        <v>407</v>
      </c>
      <c r="BI59" s="1">
        <v>3490</v>
      </c>
      <c r="BJ59" t="s">
        <v>408</v>
      </c>
      <c r="BN59" t="s">
        <v>83</v>
      </c>
      <c r="BO59" t="s">
        <v>104</v>
      </c>
      <c r="BQ59" t="s">
        <v>405</v>
      </c>
      <c r="BR59" s="2">
        <v>46249.708252314813</v>
      </c>
    </row>
    <row r="60" spans="1:70">
      <c r="A60" t="s">
        <v>409</v>
      </c>
      <c r="B60" t="s">
        <v>71</v>
      </c>
      <c r="C60">
        <v>200</v>
      </c>
      <c r="E60" t="s">
        <v>87</v>
      </c>
      <c r="F60" t="s">
        <v>406</v>
      </c>
      <c r="G60" t="s">
        <v>216</v>
      </c>
      <c r="H60">
        <v>29</v>
      </c>
      <c r="I60">
        <v>270</v>
      </c>
      <c r="K60">
        <v>0</v>
      </c>
      <c r="L60">
        <v>0</v>
      </c>
      <c r="N60">
        <v>0</v>
      </c>
      <c r="O60" t="s">
        <v>192</v>
      </c>
      <c r="P60">
        <v>59</v>
      </c>
      <c r="Q60" t="s">
        <v>410</v>
      </c>
      <c r="R60">
        <v>27</v>
      </c>
      <c r="S60" t="s">
        <v>217</v>
      </c>
      <c r="T60">
        <v>51</v>
      </c>
      <c r="U60" t="s">
        <v>218</v>
      </c>
      <c r="V60">
        <v>9</v>
      </c>
      <c r="W60" t="s">
        <v>77</v>
      </c>
      <c r="Z60" t="s">
        <v>215</v>
      </c>
      <c r="AF60">
        <v>152467</v>
      </c>
      <c r="AG60">
        <v>32759</v>
      </c>
      <c r="AH60">
        <v>2964910</v>
      </c>
      <c r="AI60" s="1">
        <v>1051075</v>
      </c>
      <c r="AJ60" t="s">
        <v>78</v>
      </c>
      <c r="AK60">
        <v>161</v>
      </c>
      <c r="AL60">
        <v>45</v>
      </c>
      <c r="AM60" s="1">
        <v>3578</v>
      </c>
      <c r="AN60" s="1">
        <v>32427</v>
      </c>
      <c r="AO60" t="s">
        <v>211</v>
      </c>
      <c r="AP60" s="1">
        <v>1346</v>
      </c>
      <c r="AQ60">
        <v>2</v>
      </c>
      <c r="AR60">
        <v>2</v>
      </c>
      <c r="AT60">
        <v>7</v>
      </c>
      <c r="AU60">
        <v>3</v>
      </c>
      <c r="AV60">
        <v>1</v>
      </c>
      <c r="AW60" s="1">
        <v>3450</v>
      </c>
      <c r="AX60">
        <v>122</v>
      </c>
      <c r="AY60">
        <v>36</v>
      </c>
      <c r="AZ60">
        <v>0</v>
      </c>
      <c r="BA60">
        <v>8</v>
      </c>
      <c r="BB60">
        <v>7</v>
      </c>
      <c r="BC60">
        <v>2</v>
      </c>
      <c r="BH60" t="s">
        <v>411</v>
      </c>
      <c r="BI60" s="1">
        <v>3500</v>
      </c>
      <c r="BJ60" t="s">
        <v>408</v>
      </c>
      <c r="BN60" t="s">
        <v>83</v>
      </c>
      <c r="BO60" t="s">
        <v>104</v>
      </c>
      <c r="BQ60" t="s">
        <v>409</v>
      </c>
      <c r="BR60" s="2">
        <v>46249.708240740743</v>
      </c>
    </row>
    <row r="61" spans="1:70">
      <c r="A61" t="s">
        <v>412</v>
      </c>
      <c r="B61" t="s">
        <v>207</v>
      </c>
      <c r="C61">
        <v>200</v>
      </c>
      <c r="E61" t="s">
        <v>72</v>
      </c>
      <c r="G61" t="s">
        <v>208</v>
      </c>
      <c r="H61">
        <v>27</v>
      </c>
      <c r="I61">
        <v>262</v>
      </c>
      <c r="K61">
        <v>0</v>
      </c>
      <c r="L61">
        <v>0</v>
      </c>
      <c r="N61">
        <v>0</v>
      </c>
      <c r="O61" t="s">
        <v>413</v>
      </c>
      <c r="P61">
        <v>22</v>
      </c>
      <c r="Q61" t="s">
        <v>414</v>
      </c>
      <c r="R61">
        <v>14</v>
      </c>
      <c r="T61">
        <v>0</v>
      </c>
      <c r="V61">
        <v>0</v>
      </c>
      <c r="AF61">
        <v>17734</v>
      </c>
      <c r="AG61">
        <v>5595</v>
      </c>
      <c r="AH61">
        <v>955599</v>
      </c>
      <c r="AI61" s="1">
        <v>338765</v>
      </c>
      <c r="AJ61" t="s">
        <v>94</v>
      </c>
      <c r="AK61">
        <v>30</v>
      </c>
      <c r="AL61">
        <v>13</v>
      </c>
      <c r="AM61" s="1">
        <v>2308</v>
      </c>
      <c r="AN61" s="1">
        <v>63493</v>
      </c>
      <c r="AO61" t="s">
        <v>415</v>
      </c>
      <c r="AP61" s="1">
        <v>2452</v>
      </c>
      <c r="AQ61">
        <v>2</v>
      </c>
      <c r="AR61">
        <v>1</v>
      </c>
      <c r="AT61">
        <v>11</v>
      </c>
      <c r="AU61">
        <v>10</v>
      </c>
      <c r="AV61">
        <v>0</v>
      </c>
      <c r="AW61" s="1">
        <v>11490</v>
      </c>
      <c r="AX61">
        <v>8</v>
      </c>
      <c r="AY61">
        <v>6</v>
      </c>
      <c r="AZ61">
        <v>0</v>
      </c>
      <c r="BA61">
        <v>2</v>
      </c>
      <c r="BB61">
        <v>2</v>
      </c>
      <c r="BC61">
        <v>0</v>
      </c>
      <c r="BH61" t="s">
        <v>416</v>
      </c>
      <c r="BI61" t="s">
        <v>417</v>
      </c>
      <c r="BN61" t="s">
        <v>214</v>
      </c>
      <c r="BO61" t="s">
        <v>104</v>
      </c>
      <c r="BQ61" t="s">
        <v>412</v>
      </c>
      <c r="BR61" s="2">
        <v>46249.708449074074</v>
      </c>
    </row>
    <row r="62" spans="1:70">
      <c r="A62" t="s">
        <v>418</v>
      </c>
      <c r="B62" t="s">
        <v>71</v>
      </c>
      <c r="C62">
        <v>404</v>
      </c>
      <c r="E62" t="s">
        <v>87</v>
      </c>
      <c r="F62" t="s">
        <v>88</v>
      </c>
      <c r="H62">
        <v>0</v>
      </c>
      <c r="I62">
        <v>0</v>
      </c>
      <c r="K62">
        <v>0</v>
      </c>
      <c r="L62">
        <v>0</v>
      </c>
      <c r="N62">
        <v>0</v>
      </c>
      <c r="P62">
        <v>0</v>
      </c>
      <c r="R62">
        <v>0</v>
      </c>
      <c r="T62">
        <v>0</v>
      </c>
      <c r="V62">
        <v>0</v>
      </c>
      <c r="AF62">
        <v>122131</v>
      </c>
      <c r="AG62">
        <v>28152</v>
      </c>
      <c r="AH62">
        <v>894851</v>
      </c>
      <c r="AI62" s="1">
        <v>317229</v>
      </c>
      <c r="AJ62" t="s">
        <v>94</v>
      </c>
      <c r="AK62">
        <v>0</v>
      </c>
      <c r="AP62" t="s">
        <v>79</v>
      </c>
      <c r="AQ62">
        <v>2</v>
      </c>
      <c r="AR62">
        <v>3</v>
      </c>
      <c r="AT62">
        <v>1</v>
      </c>
      <c r="AU62">
        <v>1</v>
      </c>
      <c r="AV62">
        <v>0</v>
      </c>
      <c r="AW62" s="1">
        <v>1150</v>
      </c>
      <c r="AX62">
        <v>0</v>
      </c>
      <c r="AY62">
        <v>0</v>
      </c>
      <c r="AZ62">
        <v>0</v>
      </c>
      <c r="BA62">
        <v>0</v>
      </c>
      <c r="BB62">
        <v>0</v>
      </c>
      <c r="BC62">
        <v>0</v>
      </c>
      <c r="BI62" s="1">
        <v>2950</v>
      </c>
      <c r="BO62" t="s">
        <v>84</v>
      </c>
      <c r="BQ62" t="s">
        <v>418</v>
      </c>
      <c r="BR62" s="2">
        <v>46249.708449074074</v>
      </c>
    </row>
    <row r="63" spans="1:70">
      <c r="A63" t="s">
        <v>419</v>
      </c>
      <c r="B63" t="s">
        <v>71</v>
      </c>
      <c r="C63">
        <v>200</v>
      </c>
      <c r="E63" t="s">
        <v>72</v>
      </c>
      <c r="G63" t="s">
        <v>420</v>
      </c>
      <c r="H63">
        <v>71</v>
      </c>
      <c r="I63">
        <v>670</v>
      </c>
      <c r="K63">
        <v>0</v>
      </c>
      <c r="L63">
        <v>0</v>
      </c>
      <c r="N63">
        <v>0</v>
      </c>
      <c r="P63">
        <v>0</v>
      </c>
      <c r="R63">
        <v>0</v>
      </c>
      <c r="S63" t="s">
        <v>421</v>
      </c>
      <c r="T63">
        <v>18</v>
      </c>
      <c r="U63" t="s">
        <v>422</v>
      </c>
      <c r="V63">
        <v>12</v>
      </c>
      <c r="W63" t="s">
        <v>77</v>
      </c>
      <c r="Z63" t="s">
        <v>419</v>
      </c>
      <c r="AF63">
        <v>144609</v>
      </c>
      <c r="AG63">
        <v>33755</v>
      </c>
      <c r="AH63">
        <v>6076955</v>
      </c>
      <c r="AI63" s="1">
        <v>2154311</v>
      </c>
      <c r="AJ63" t="s">
        <v>78</v>
      </c>
      <c r="AK63">
        <v>414</v>
      </c>
      <c r="AL63">
        <v>71</v>
      </c>
      <c r="AM63" s="1">
        <v>5831</v>
      </c>
      <c r="AN63" s="1">
        <v>27221</v>
      </c>
      <c r="AO63" t="s">
        <v>80</v>
      </c>
      <c r="AP63" s="1">
        <v>2201</v>
      </c>
      <c r="AQ63">
        <v>2</v>
      </c>
      <c r="AR63">
        <v>1</v>
      </c>
      <c r="AT63">
        <v>15</v>
      </c>
      <c r="AU63">
        <v>5</v>
      </c>
      <c r="AV63">
        <v>1</v>
      </c>
      <c r="AW63" s="1">
        <v>5750</v>
      </c>
      <c r="AX63">
        <v>111</v>
      </c>
      <c r="AY63">
        <v>31</v>
      </c>
      <c r="AZ63">
        <v>0</v>
      </c>
      <c r="BA63">
        <v>8</v>
      </c>
      <c r="BB63">
        <v>7</v>
      </c>
      <c r="BC63">
        <v>2</v>
      </c>
      <c r="BH63" t="s">
        <v>423</v>
      </c>
      <c r="BI63" t="s">
        <v>424</v>
      </c>
      <c r="BJ63" t="s">
        <v>425</v>
      </c>
      <c r="BN63" t="s">
        <v>83</v>
      </c>
      <c r="BO63" t="s">
        <v>84</v>
      </c>
      <c r="BQ63" t="s">
        <v>419</v>
      </c>
      <c r="BR63" s="2">
        <v>46249.708449074074</v>
      </c>
    </row>
    <row r="64" spans="1:70">
      <c r="A64" t="s">
        <v>426</v>
      </c>
      <c r="B64" t="s">
        <v>71</v>
      </c>
      <c r="C64">
        <v>200</v>
      </c>
      <c r="E64" t="s">
        <v>87</v>
      </c>
      <c r="F64" t="s">
        <v>427</v>
      </c>
      <c r="G64" t="s">
        <v>428</v>
      </c>
      <c r="H64">
        <v>30</v>
      </c>
      <c r="I64">
        <v>305</v>
      </c>
      <c r="K64">
        <v>0</v>
      </c>
      <c r="L64">
        <v>0</v>
      </c>
      <c r="N64">
        <v>0</v>
      </c>
      <c r="O64" t="s">
        <v>191</v>
      </c>
      <c r="P64">
        <v>43</v>
      </c>
      <c r="Q64" t="s">
        <v>192</v>
      </c>
      <c r="R64">
        <v>59</v>
      </c>
      <c r="S64" t="s">
        <v>193</v>
      </c>
      <c r="T64">
        <v>6</v>
      </c>
      <c r="U64" t="s">
        <v>194</v>
      </c>
      <c r="V64">
        <v>10</v>
      </c>
      <c r="W64" t="s">
        <v>429</v>
      </c>
      <c r="AF64">
        <v>170686</v>
      </c>
      <c r="AG64">
        <v>33830</v>
      </c>
      <c r="AH64">
        <v>3226741</v>
      </c>
      <c r="AI64" s="1">
        <v>1143896</v>
      </c>
      <c r="AJ64" t="s">
        <v>78</v>
      </c>
      <c r="AK64">
        <v>280</v>
      </c>
      <c r="AL64">
        <v>72</v>
      </c>
      <c r="AM64" s="1">
        <v>3889</v>
      </c>
      <c r="AN64" s="1">
        <v>68434</v>
      </c>
      <c r="AO64" t="s">
        <v>415</v>
      </c>
      <c r="AP64" s="1">
        <v>1503</v>
      </c>
      <c r="AQ64">
        <v>2</v>
      </c>
      <c r="AR64">
        <v>3</v>
      </c>
      <c r="AT64">
        <v>53</v>
      </c>
      <c r="AU64">
        <v>14</v>
      </c>
      <c r="AV64">
        <v>1</v>
      </c>
      <c r="AW64" s="1">
        <v>16090</v>
      </c>
      <c r="AX64">
        <v>140</v>
      </c>
      <c r="AY64">
        <v>36</v>
      </c>
      <c r="AZ64">
        <v>0</v>
      </c>
      <c r="BA64">
        <v>8</v>
      </c>
      <c r="BB64">
        <v>7</v>
      </c>
      <c r="BC64">
        <v>2</v>
      </c>
      <c r="BH64" t="s">
        <v>430</v>
      </c>
      <c r="BI64" s="1">
        <v>4364</v>
      </c>
      <c r="BJ64" t="s">
        <v>431</v>
      </c>
      <c r="BN64" t="s">
        <v>83</v>
      </c>
      <c r="BO64" t="s">
        <v>104</v>
      </c>
      <c r="BQ64" t="s">
        <v>426</v>
      </c>
      <c r="BR64" s="2">
        <v>46249.708506944444</v>
      </c>
    </row>
    <row r="65" spans="1:70">
      <c r="A65" t="s">
        <v>432</v>
      </c>
      <c r="B65" t="s">
        <v>71</v>
      </c>
      <c r="C65">
        <v>200</v>
      </c>
      <c r="E65" t="s">
        <v>72</v>
      </c>
      <c r="G65" t="s">
        <v>420</v>
      </c>
      <c r="H65">
        <v>71</v>
      </c>
      <c r="I65">
        <v>670</v>
      </c>
      <c r="K65">
        <v>0</v>
      </c>
      <c r="L65">
        <v>0</v>
      </c>
      <c r="N65">
        <v>0</v>
      </c>
      <c r="P65">
        <v>0</v>
      </c>
      <c r="R65">
        <v>0</v>
      </c>
      <c r="S65" t="s">
        <v>421</v>
      </c>
      <c r="T65">
        <v>18</v>
      </c>
      <c r="U65" t="s">
        <v>422</v>
      </c>
      <c r="V65">
        <v>12</v>
      </c>
      <c r="W65" t="s">
        <v>77</v>
      </c>
      <c r="Z65" t="s">
        <v>432</v>
      </c>
      <c r="AF65">
        <v>144487</v>
      </c>
      <c r="AG65">
        <v>33871</v>
      </c>
      <c r="AH65">
        <v>6076405</v>
      </c>
      <c r="AI65" s="1">
        <v>2154116</v>
      </c>
      <c r="AJ65" t="s">
        <v>78</v>
      </c>
      <c r="AK65">
        <v>414</v>
      </c>
      <c r="AL65">
        <v>71</v>
      </c>
      <c r="AM65" s="1">
        <v>5831</v>
      </c>
      <c r="AN65" s="1">
        <v>27221</v>
      </c>
      <c r="AO65" t="s">
        <v>80</v>
      </c>
      <c r="AP65" s="1">
        <v>2203</v>
      </c>
      <c r="AQ65">
        <v>2</v>
      </c>
      <c r="AR65">
        <v>1</v>
      </c>
      <c r="AT65">
        <v>21</v>
      </c>
      <c r="AU65">
        <v>8</v>
      </c>
      <c r="AV65">
        <v>1</v>
      </c>
      <c r="AW65" s="1">
        <v>9200</v>
      </c>
      <c r="AX65">
        <v>111</v>
      </c>
      <c r="AY65">
        <v>31</v>
      </c>
      <c r="AZ65">
        <v>0</v>
      </c>
      <c r="BA65">
        <v>8</v>
      </c>
      <c r="BB65">
        <v>7</v>
      </c>
      <c r="BC65">
        <v>2</v>
      </c>
      <c r="BH65" t="s">
        <v>433</v>
      </c>
      <c r="BI65" s="1">
        <v>4825</v>
      </c>
      <c r="BJ65" t="s">
        <v>434</v>
      </c>
      <c r="BN65" t="s">
        <v>83</v>
      </c>
      <c r="BO65" t="s">
        <v>84</v>
      </c>
      <c r="BQ65" t="s">
        <v>432</v>
      </c>
      <c r="BR65" s="2">
        <v>46249.708587962959</v>
      </c>
    </row>
    <row r="66" spans="1:70">
      <c r="A66" t="s">
        <v>435</v>
      </c>
      <c r="B66" t="s">
        <v>71</v>
      </c>
      <c r="C66">
        <v>200</v>
      </c>
      <c r="E66" t="s">
        <v>72</v>
      </c>
      <c r="G66" t="s">
        <v>436</v>
      </c>
      <c r="H66">
        <v>39</v>
      </c>
      <c r="I66">
        <v>388</v>
      </c>
      <c r="K66">
        <v>0</v>
      </c>
      <c r="L66">
        <v>0</v>
      </c>
      <c r="N66">
        <v>0</v>
      </c>
      <c r="P66">
        <v>0</v>
      </c>
      <c r="R66">
        <v>0</v>
      </c>
      <c r="S66" t="s">
        <v>421</v>
      </c>
      <c r="T66">
        <v>18</v>
      </c>
      <c r="U66" t="s">
        <v>422</v>
      </c>
      <c r="V66">
        <v>12</v>
      </c>
      <c r="W66" t="s">
        <v>77</v>
      </c>
      <c r="Z66" t="s">
        <v>435</v>
      </c>
      <c r="AF66">
        <v>143549</v>
      </c>
      <c r="AG66">
        <v>33152</v>
      </c>
      <c r="AH66">
        <v>6276663</v>
      </c>
      <c r="AI66" s="1">
        <v>2225108</v>
      </c>
      <c r="AJ66" t="s">
        <v>78</v>
      </c>
      <c r="AK66">
        <v>406</v>
      </c>
      <c r="AL66">
        <v>71</v>
      </c>
      <c r="AM66" s="1">
        <v>5718</v>
      </c>
      <c r="AN66" s="1">
        <v>47459</v>
      </c>
      <c r="AO66" t="s">
        <v>211</v>
      </c>
      <c r="AP66" s="1">
        <v>2090</v>
      </c>
      <c r="AQ66">
        <v>2</v>
      </c>
      <c r="AR66">
        <v>1</v>
      </c>
      <c r="AT66">
        <v>21</v>
      </c>
      <c r="AU66">
        <v>8</v>
      </c>
      <c r="AV66">
        <v>1</v>
      </c>
      <c r="AW66" s="1">
        <v>9200</v>
      </c>
      <c r="AX66">
        <v>111</v>
      </c>
      <c r="AY66">
        <v>31</v>
      </c>
      <c r="AZ66">
        <v>0</v>
      </c>
      <c r="BA66">
        <v>8</v>
      </c>
      <c r="BB66">
        <v>7</v>
      </c>
      <c r="BC66">
        <v>2</v>
      </c>
      <c r="BH66" t="s">
        <v>437</v>
      </c>
      <c r="BI66" t="s">
        <v>438</v>
      </c>
      <c r="BJ66" t="s">
        <v>439</v>
      </c>
      <c r="BN66" t="s">
        <v>83</v>
      </c>
      <c r="BO66" t="s">
        <v>84</v>
      </c>
      <c r="BQ66" t="s">
        <v>435</v>
      </c>
      <c r="BR66" s="2">
        <v>46249.708483796298</v>
      </c>
    </row>
    <row r="67" spans="1:70">
      <c r="A67" t="s">
        <v>440</v>
      </c>
      <c r="B67" t="s">
        <v>71</v>
      </c>
      <c r="C67">
        <v>200</v>
      </c>
      <c r="E67" t="s">
        <v>72</v>
      </c>
      <c r="G67" t="s">
        <v>420</v>
      </c>
      <c r="H67">
        <v>71</v>
      </c>
      <c r="I67">
        <v>670</v>
      </c>
      <c r="K67">
        <v>0</v>
      </c>
      <c r="L67">
        <v>0</v>
      </c>
      <c r="N67">
        <v>0</v>
      </c>
      <c r="P67">
        <v>0</v>
      </c>
      <c r="R67">
        <v>0</v>
      </c>
      <c r="S67" t="s">
        <v>421</v>
      </c>
      <c r="T67">
        <v>18</v>
      </c>
      <c r="U67" t="s">
        <v>422</v>
      </c>
      <c r="V67">
        <v>12</v>
      </c>
      <c r="W67" t="s">
        <v>77</v>
      </c>
      <c r="Z67" t="s">
        <v>440</v>
      </c>
      <c r="AF67">
        <v>144487</v>
      </c>
      <c r="AG67">
        <v>33911</v>
      </c>
      <c r="AH67">
        <v>6076486</v>
      </c>
      <c r="AI67" s="1">
        <v>2154145</v>
      </c>
      <c r="AJ67" t="s">
        <v>78</v>
      </c>
      <c r="AK67">
        <v>414</v>
      </c>
      <c r="AL67">
        <v>71</v>
      </c>
      <c r="AM67" s="1">
        <v>5831</v>
      </c>
      <c r="AN67" s="1">
        <v>27221</v>
      </c>
      <c r="AO67" t="s">
        <v>80</v>
      </c>
      <c r="AP67" s="1">
        <v>2203</v>
      </c>
      <c r="AQ67">
        <v>2</v>
      </c>
      <c r="AR67">
        <v>1</v>
      </c>
      <c r="AT67">
        <v>21</v>
      </c>
      <c r="AU67">
        <v>8</v>
      </c>
      <c r="AV67">
        <v>1</v>
      </c>
      <c r="AW67" s="1">
        <v>9200</v>
      </c>
      <c r="AX67">
        <v>111</v>
      </c>
      <c r="AY67">
        <v>31</v>
      </c>
      <c r="AZ67">
        <v>0</v>
      </c>
      <c r="BA67">
        <v>8</v>
      </c>
      <c r="BB67">
        <v>7</v>
      </c>
      <c r="BC67">
        <v>2</v>
      </c>
      <c r="BH67" t="s">
        <v>441</v>
      </c>
      <c r="BI67" s="1">
        <v>2779</v>
      </c>
      <c r="BJ67" t="s">
        <v>442</v>
      </c>
      <c r="BN67" t="s">
        <v>83</v>
      </c>
      <c r="BO67" t="s">
        <v>104</v>
      </c>
      <c r="BQ67" t="s">
        <v>440</v>
      </c>
      <c r="BR67" s="2">
        <v>46249.708622685182</v>
      </c>
    </row>
    <row r="68" spans="1:70">
      <c r="A68" t="s">
        <v>443</v>
      </c>
      <c r="B68" t="s">
        <v>71</v>
      </c>
      <c r="C68">
        <v>200</v>
      </c>
      <c r="E68" t="s">
        <v>72</v>
      </c>
      <c r="G68" t="s">
        <v>436</v>
      </c>
      <c r="H68">
        <v>39</v>
      </c>
      <c r="I68">
        <v>388</v>
      </c>
      <c r="K68">
        <v>0</v>
      </c>
      <c r="L68">
        <v>0</v>
      </c>
      <c r="N68">
        <v>0</v>
      </c>
      <c r="P68">
        <v>0</v>
      </c>
      <c r="R68">
        <v>0</v>
      </c>
      <c r="S68" t="s">
        <v>421</v>
      </c>
      <c r="T68">
        <v>18</v>
      </c>
      <c r="U68" t="s">
        <v>422</v>
      </c>
      <c r="V68">
        <v>12</v>
      </c>
      <c r="W68" t="s">
        <v>77</v>
      </c>
      <c r="Z68" t="s">
        <v>443</v>
      </c>
      <c r="AF68">
        <v>143549</v>
      </c>
      <c r="AG68">
        <v>33178</v>
      </c>
      <c r="AH68">
        <v>6276704</v>
      </c>
      <c r="AI68" s="1">
        <v>2225123</v>
      </c>
      <c r="AJ68" t="s">
        <v>78</v>
      </c>
      <c r="AK68">
        <v>406</v>
      </c>
      <c r="AL68">
        <v>71</v>
      </c>
      <c r="AM68" s="1">
        <v>5718</v>
      </c>
      <c r="AN68" s="1">
        <v>47459</v>
      </c>
      <c r="AO68" t="s">
        <v>211</v>
      </c>
      <c r="AP68" s="1">
        <v>2090</v>
      </c>
      <c r="AQ68">
        <v>2</v>
      </c>
      <c r="AR68">
        <v>1</v>
      </c>
      <c r="AT68">
        <v>21</v>
      </c>
      <c r="AU68">
        <v>8</v>
      </c>
      <c r="AV68">
        <v>1</v>
      </c>
      <c r="AW68" s="1">
        <v>9200</v>
      </c>
      <c r="AX68">
        <v>111</v>
      </c>
      <c r="AY68">
        <v>31</v>
      </c>
      <c r="AZ68">
        <v>0</v>
      </c>
      <c r="BA68">
        <v>8</v>
      </c>
      <c r="BB68">
        <v>7</v>
      </c>
      <c r="BC68">
        <v>2</v>
      </c>
      <c r="BH68" t="s">
        <v>444</v>
      </c>
      <c r="BI68" s="1">
        <v>1728</v>
      </c>
      <c r="BJ68" t="s">
        <v>445</v>
      </c>
      <c r="BN68" t="s">
        <v>83</v>
      </c>
      <c r="BO68" t="s">
        <v>84</v>
      </c>
      <c r="BQ68" t="s">
        <v>443</v>
      </c>
      <c r="BR68" s="2">
        <v>46249.708831018521</v>
      </c>
    </row>
    <row r="69" spans="1:70">
      <c r="A69" t="s">
        <v>446</v>
      </c>
      <c r="B69" t="s">
        <v>71</v>
      </c>
      <c r="C69">
        <v>200</v>
      </c>
      <c r="E69" t="s">
        <v>72</v>
      </c>
      <c r="G69" t="s">
        <v>436</v>
      </c>
      <c r="H69">
        <v>39</v>
      </c>
      <c r="I69">
        <v>388</v>
      </c>
      <c r="K69">
        <v>0</v>
      </c>
      <c r="L69">
        <v>0</v>
      </c>
      <c r="N69">
        <v>0</v>
      </c>
      <c r="P69">
        <v>0</v>
      </c>
      <c r="R69">
        <v>0</v>
      </c>
      <c r="S69" t="s">
        <v>421</v>
      </c>
      <c r="T69">
        <v>18</v>
      </c>
      <c r="U69" t="s">
        <v>422</v>
      </c>
      <c r="V69">
        <v>12</v>
      </c>
      <c r="W69" t="s">
        <v>77</v>
      </c>
      <c r="Z69" t="s">
        <v>446</v>
      </c>
      <c r="AF69">
        <v>143506</v>
      </c>
      <c r="AG69">
        <v>33713</v>
      </c>
      <c r="AH69">
        <v>6276394</v>
      </c>
      <c r="AI69" s="1">
        <v>2225013</v>
      </c>
      <c r="AJ69" t="s">
        <v>78</v>
      </c>
      <c r="AK69">
        <v>406</v>
      </c>
      <c r="AL69">
        <v>71</v>
      </c>
      <c r="AM69" s="1">
        <v>5718</v>
      </c>
      <c r="AN69" s="1">
        <v>47459</v>
      </c>
      <c r="AO69" t="s">
        <v>211</v>
      </c>
      <c r="AP69" s="1">
        <v>2090</v>
      </c>
      <c r="AQ69">
        <v>2</v>
      </c>
      <c r="AR69">
        <v>1</v>
      </c>
      <c r="AT69">
        <v>15</v>
      </c>
      <c r="AU69">
        <v>5</v>
      </c>
      <c r="AV69">
        <v>1</v>
      </c>
      <c r="AW69" s="1">
        <v>5750</v>
      </c>
      <c r="AX69">
        <v>111</v>
      </c>
      <c r="AY69">
        <v>31</v>
      </c>
      <c r="AZ69">
        <v>0</v>
      </c>
      <c r="BA69">
        <v>8</v>
      </c>
      <c r="BB69">
        <v>7</v>
      </c>
      <c r="BC69">
        <v>2</v>
      </c>
      <c r="BH69" t="s">
        <v>447</v>
      </c>
      <c r="BI69" s="1">
        <v>1583</v>
      </c>
      <c r="BJ69" t="s">
        <v>448</v>
      </c>
      <c r="BN69" t="s">
        <v>83</v>
      </c>
      <c r="BO69" t="s">
        <v>84</v>
      </c>
      <c r="BQ69" t="s">
        <v>446</v>
      </c>
      <c r="BR69" s="2">
        <v>46249.70884259259</v>
      </c>
    </row>
    <row r="70" spans="1:70">
      <c r="A70" t="s">
        <v>449</v>
      </c>
      <c r="B70" t="s">
        <v>71</v>
      </c>
      <c r="C70">
        <v>200</v>
      </c>
      <c r="E70" t="s">
        <v>72</v>
      </c>
      <c r="G70" t="s">
        <v>450</v>
      </c>
      <c r="H70">
        <v>55</v>
      </c>
      <c r="I70">
        <v>536</v>
      </c>
      <c r="K70">
        <v>0</v>
      </c>
      <c r="L70">
        <v>0</v>
      </c>
      <c r="N70">
        <v>0</v>
      </c>
      <c r="P70">
        <v>0</v>
      </c>
      <c r="R70">
        <v>0</v>
      </c>
      <c r="S70" t="s">
        <v>421</v>
      </c>
      <c r="T70">
        <v>18</v>
      </c>
      <c r="U70" t="s">
        <v>422</v>
      </c>
      <c r="V70">
        <v>12</v>
      </c>
      <c r="W70" t="s">
        <v>77</v>
      </c>
      <c r="Z70" t="s">
        <v>449</v>
      </c>
      <c r="AF70">
        <v>144218</v>
      </c>
      <c r="AG70">
        <v>34011</v>
      </c>
      <c r="AH70">
        <v>5225886</v>
      </c>
      <c r="AI70" s="1">
        <v>1852603</v>
      </c>
      <c r="AJ70" t="s">
        <v>78</v>
      </c>
      <c r="AK70">
        <v>427</v>
      </c>
      <c r="AL70">
        <v>77</v>
      </c>
      <c r="AM70" s="1">
        <v>5545</v>
      </c>
      <c r="AN70" s="1">
        <v>26261</v>
      </c>
      <c r="AO70" t="s">
        <v>80</v>
      </c>
      <c r="AP70" s="1">
        <v>2283</v>
      </c>
      <c r="AQ70">
        <v>2</v>
      </c>
      <c r="AR70">
        <v>1</v>
      </c>
      <c r="AT70">
        <v>15</v>
      </c>
      <c r="AU70">
        <v>5</v>
      </c>
      <c r="AV70">
        <v>1</v>
      </c>
      <c r="AW70" s="1">
        <v>5750</v>
      </c>
      <c r="AX70">
        <v>111</v>
      </c>
      <c r="AY70">
        <v>31</v>
      </c>
      <c r="AZ70">
        <v>0</v>
      </c>
      <c r="BA70">
        <v>8</v>
      </c>
      <c r="BB70">
        <v>7</v>
      </c>
      <c r="BC70">
        <v>2</v>
      </c>
      <c r="BH70" t="s">
        <v>451</v>
      </c>
      <c r="BI70" s="1">
        <v>2785</v>
      </c>
      <c r="BJ70" t="s">
        <v>452</v>
      </c>
      <c r="BN70" t="s">
        <v>83</v>
      </c>
      <c r="BO70" t="s">
        <v>104</v>
      </c>
      <c r="BQ70" t="s">
        <v>449</v>
      </c>
      <c r="BR70" s="2">
        <v>46249.708796296298</v>
      </c>
    </row>
    <row r="71" spans="1:70">
      <c r="A71" t="s">
        <v>453</v>
      </c>
      <c r="B71" t="s">
        <v>71</v>
      </c>
      <c r="C71">
        <v>200</v>
      </c>
      <c r="E71" t="s">
        <v>72</v>
      </c>
      <c r="G71" t="s">
        <v>450</v>
      </c>
      <c r="H71">
        <v>55</v>
      </c>
      <c r="I71">
        <v>536</v>
      </c>
      <c r="K71">
        <v>0</v>
      </c>
      <c r="L71">
        <v>0</v>
      </c>
      <c r="N71">
        <v>0</v>
      </c>
      <c r="P71">
        <v>0</v>
      </c>
      <c r="R71">
        <v>0</v>
      </c>
      <c r="S71" t="s">
        <v>421</v>
      </c>
      <c r="T71">
        <v>18</v>
      </c>
      <c r="U71" t="s">
        <v>422</v>
      </c>
      <c r="V71">
        <v>12</v>
      </c>
      <c r="W71" t="s">
        <v>77</v>
      </c>
      <c r="Z71" t="s">
        <v>453</v>
      </c>
      <c r="AF71">
        <v>145219</v>
      </c>
      <c r="AG71">
        <v>34152</v>
      </c>
      <c r="AH71">
        <v>5225996</v>
      </c>
      <c r="AI71" s="1">
        <v>1852642</v>
      </c>
      <c r="AJ71" t="s">
        <v>78</v>
      </c>
      <c r="AK71">
        <v>427</v>
      </c>
      <c r="AL71">
        <v>77</v>
      </c>
      <c r="AM71" s="1">
        <v>5545</v>
      </c>
      <c r="AN71" s="1">
        <v>26261</v>
      </c>
      <c r="AO71" t="s">
        <v>80</v>
      </c>
      <c r="AP71" s="1">
        <v>2272</v>
      </c>
      <c r="AQ71">
        <v>2</v>
      </c>
      <c r="AR71">
        <v>1</v>
      </c>
      <c r="AT71">
        <v>21</v>
      </c>
      <c r="AU71">
        <v>8</v>
      </c>
      <c r="AV71">
        <v>1</v>
      </c>
      <c r="AW71" s="1">
        <v>9200</v>
      </c>
      <c r="AX71">
        <v>111</v>
      </c>
      <c r="AY71">
        <v>31</v>
      </c>
      <c r="AZ71">
        <v>0</v>
      </c>
      <c r="BA71">
        <v>8</v>
      </c>
      <c r="BB71">
        <v>7</v>
      </c>
      <c r="BC71">
        <v>2</v>
      </c>
      <c r="BH71" t="s">
        <v>454</v>
      </c>
      <c r="BI71" s="1">
        <v>3640</v>
      </c>
      <c r="BJ71" t="s">
        <v>448</v>
      </c>
      <c r="BN71" t="s">
        <v>83</v>
      </c>
      <c r="BO71" t="s">
        <v>104</v>
      </c>
      <c r="BQ71" t="s">
        <v>453</v>
      </c>
      <c r="BR71" s="2">
        <v>46249.708819444444</v>
      </c>
    </row>
    <row r="72" spans="1:70">
      <c r="A72" t="s">
        <v>455</v>
      </c>
      <c r="B72" t="s">
        <v>71</v>
      </c>
      <c r="C72">
        <v>200</v>
      </c>
      <c r="E72" t="s">
        <v>72</v>
      </c>
      <c r="G72" t="s">
        <v>420</v>
      </c>
      <c r="H72">
        <v>71</v>
      </c>
      <c r="I72">
        <v>670</v>
      </c>
      <c r="K72">
        <v>0</v>
      </c>
      <c r="L72">
        <v>0</v>
      </c>
      <c r="N72">
        <v>0</v>
      </c>
      <c r="P72">
        <v>0</v>
      </c>
      <c r="R72">
        <v>0</v>
      </c>
      <c r="S72" t="s">
        <v>421</v>
      </c>
      <c r="T72">
        <v>18</v>
      </c>
      <c r="U72" t="s">
        <v>422</v>
      </c>
      <c r="V72">
        <v>12</v>
      </c>
      <c r="W72" t="s">
        <v>77</v>
      </c>
      <c r="Z72" t="s">
        <v>455</v>
      </c>
      <c r="AF72">
        <v>144487</v>
      </c>
      <c r="AG72">
        <v>33761</v>
      </c>
      <c r="AH72">
        <v>6076062</v>
      </c>
      <c r="AI72" s="1">
        <v>2153994</v>
      </c>
      <c r="AJ72" t="s">
        <v>78</v>
      </c>
      <c r="AK72">
        <v>414</v>
      </c>
      <c r="AL72">
        <v>71</v>
      </c>
      <c r="AM72" s="1">
        <v>5831</v>
      </c>
      <c r="AN72" s="1">
        <v>27221</v>
      </c>
      <c r="AO72" t="s">
        <v>80</v>
      </c>
      <c r="AP72" s="1">
        <v>2203</v>
      </c>
      <c r="AQ72">
        <v>2</v>
      </c>
      <c r="AR72">
        <v>1</v>
      </c>
      <c r="AT72">
        <v>21</v>
      </c>
      <c r="AU72">
        <v>8</v>
      </c>
      <c r="AV72">
        <v>1</v>
      </c>
      <c r="AW72" s="1">
        <v>9200</v>
      </c>
      <c r="AX72">
        <v>111</v>
      </c>
      <c r="AY72">
        <v>31</v>
      </c>
      <c r="AZ72">
        <v>0</v>
      </c>
      <c r="BA72">
        <v>8</v>
      </c>
      <c r="BB72">
        <v>7</v>
      </c>
      <c r="BC72">
        <v>2</v>
      </c>
      <c r="BH72" t="s">
        <v>456</v>
      </c>
      <c r="BI72" s="1">
        <v>8395</v>
      </c>
      <c r="BJ72" t="s">
        <v>457</v>
      </c>
      <c r="BN72" t="s">
        <v>83</v>
      </c>
      <c r="BO72" t="s">
        <v>84</v>
      </c>
      <c r="BQ72" t="s">
        <v>455</v>
      </c>
      <c r="BR72" s="2">
        <v>46249.708854166667</v>
      </c>
    </row>
    <row r="73" spans="1:70">
      <c r="A73" t="s">
        <v>458</v>
      </c>
      <c r="B73" t="s">
        <v>71</v>
      </c>
      <c r="C73">
        <v>200</v>
      </c>
      <c r="E73" t="s">
        <v>72</v>
      </c>
      <c r="G73" t="s">
        <v>459</v>
      </c>
      <c r="H73">
        <v>33</v>
      </c>
      <c r="I73">
        <v>341</v>
      </c>
      <c r="K73">
        <v>0</v>
      </c>
      <c r="L73">
        <v>0</v>
      </c>
      <c r="N73">
        <v>0</v>
      </c>
      <c r="O73" t="s">
        <v>460</v>
      </c>
      <c r="P73">
        <v>24</v>
      </c>
      <c r="R73">
        <v>0</v>
      </c>
      <c r="S73" t="s">
        <v>461</v>
      </c>
      <c r="T73">
        <v>21</v>
      </c>
      <c r="U73" t="s">
        <v>460</v>
      </c>
      <c r="V73">
        <v>24</v>
      </c>
      <c r="W73" t="s">
        <v>77</v>
      </c>
      <c r="Z73" t="s">
        <v>458</v>
      </c>
      <c r="AF73">
        <v>157454</v>
      </c>
      <c r="AG73">
        <v>33978</v>
      </c>
      <c r="AH73">
        <v>2902995</v>
      </c>
      <c r="AI73" s="1">
        <v>1029126</v>
      </c>
      <c r="AJ73" t="s">
        <v>78</v>
      </c>
      <c r="AK73">
        <v>450</v>
      </c>
      <c r="AL73">
        <v>95</v>
      </c>
      <c r="AM73" s="1">
        <v>4737</v>
      </c>
      <c r="AN73" t="s">
        <v>79</v>
      </c>
      <c r="AO73" t="s">
        <v>80</v>
      </c>
      <c r="AP73" s="1">
        <v>2318</v>
      </c>
      <c r="AQ73">
        <v>2</v>
      </c>
      <c r="AR73">
        <v>2</v>
      </c>
      <c r="AT73">
        <v>6</v>
      </c>
      <c r="AU73">
        <v>2</v>
      </c>
      <c r="AV73">
        <v>1</v>
      </c>
      <c r="AW73" s="1">
        <v>2300</v>
      </c>
      <c r="AX73">
        <v>113</v>
      </c>
      <c r="AY73">
        <v>29</v>
      </c>
      <c r="AZ73">
        <v>0</v>
      </c>
      <c r="BA73">
        <v>10</v>
      </c>
      <c r="BB73">
        <v>8</v>
      </c>
      <c r="BC73">
        <v>2</v>
      </c>
      <c r="BH73" t="s">
        <v>462</v>
      </c>
      <c r="BI73" s="1">
        <v>2937</v>
      </c>
      <c r="BJ73" t="s">
        <v>463</v>
      </c>
      <c r="BN73" t="s">
        <v>83</v>
      </c>
      <c r="BO73" t="s">
        <v>84</v>
      </c>
      <c r="BQ73" t="s">
        <v>458</v>
      </c>
      <c r="BR73" s="2">
        <v>46249.710266203707</v>
      </c>
    </row>
    <row r="74" spans="1:70">
      <c r="A74" t="s">
        <v>464</v>
      </c>
      <c r="B74" t="s">
        <v>71</v>
      </c>
      <c r="C74">
        <v>200</v>
      </c>
      <c r="E74" t="s">
        <v>72</v>
      </c>
      <c r="G74" t="s">
        <v>465</v>
      </c>
      <c r="H74">
        <v>37</v>
      </c>
      <c r="I74">
        <v>367</v>
      </c>
      <c r="K74">
        <v>0</v>
      </c>
      <c r="L74">
        <v>0</v>
      </c>
      <c r="N74">
        <v>0</v>
      </c>
      <c r="O74" t="s">
        <v>466</v>
      </c>
      <c r="P74">
        <v>35</v>
      </c>
      <c r="R74">
        <v>0</v>
      </c>
      <c r="S74" t="s">
        <v>461</v>
      </c>
      <c r="T74">
        <v>21</v>
      </c>
      <c r="U74" t="s">
        <v>467</v>
      </c>
      <c r="V74">
        <v>35</v>
      </c>
      <c r="W74" t="s">
        <v>77</v>
      </c>
      <c r="Z74" t="s">
        <v>464</v>
      </c>
      <c r="AF74">
        <v>155007</v>
      </c>
      <c r="AG74">
        <v>33507</v>
      </c>
      <c r="AH74">
        <v>3357328</v>
      </c>
      <c r="AI74" s="1">
        <v>1190190</v>
      </c>
      <c r="AJ74" t="s">
        <v>78</v>
      </c>
      <c r="AK74">
        <v>437</v>
      </c>
      <c r="AL74">
        <v>91</v>
      </c>
      <c r="AM74" s="1">
        <v>4802</v>
      </c>
      <c r="AN74" t="s">
        <v>79</v>
      </c>
      <c r="AO74" t="s">
        <v>80</v>
      </c>
      <c r="AP74" s="1">
        <v>2330</v>
      </c>
      <c r="AQ74">
        <v>2</v>
      </c>
      <c r="AR74">
        <v>2</v>
      </c>
      <c r="AT74">
        <v>6</v>
      </c>
      <c r="AU74">
        <v>2</v>
      </c>
      <c r="AV74">
        <v>1</v>
      </c>
      <c r="AW74" s="1">
        <v>2300</v>
      </c>
      <c r="AX74">
        <v>113</v>
      </c>
      <c r="AY74">
        <v>29</v>
      </c>
      <c r="AZ74">
        <v>0</v>
      </c>
      <c r="BA74">
        <v>10</v>
      </c>
      <c r="BB74">
        <v>8</v>
      </c>
      <c r="BC74">
        <v>2</v>
      </c>
      <c r="BH74" t="s">
        <v>468</v>
      </c>
      <c r="BI74" s="1">
        <v>11534</v>
      </c>
      <c r="BJ74" t="s">
        <v>469</v>
      </c>
      <c r="BN74" t="s">
        <v>83</v>
      </c>
      <c r="BO74" t="s">
        <v>84</v>
      </c>
      <c r="BQ74" t="s">
        <v>464</v>
      </c>
      <c r="BR74" s="2">
        <v>46249.710578703707</v>
      </c>
    </row>
    <row r="75" spans="1:70">
      <c r="A75" t="s">
        <v>470</v>
      </c>
      <c r="B75" t="s">
        <v>71</v>
      </c>
      <c r="C75">
        <v>403</v>
      </c>
      <c r="E75" t="s">
        <v>87</v>
      </c>
      <c r="F75" t="s">
        <v>88</v>
      </c>
      <c r="H75">
        <v>0</v>
      </c>
      <c r="I75">
        <v>0</v>
      </c>
      <c r="K75">
        <v>0</v>
      </c>
      <c r="L75">
        <v>0</v>
      </c>
      <c r="N75">
        <v>0</v>
      </c>
      <c r="P75">
        <v>0</v>
      </c>
      <c r="R75">
        <v>0</v>
      </c>
      <c r="T75">
        <v>0</v>
      </c>
      <c r="V75">
        <v>0</v>
      </c>
      <c r="AF75">
        <v>5722</v>
      </c>
      <c r="AG75">
        <v>4739</v>
      </c>
      <c r="AH75">
        <v>144531</v>
      </c>
      <c r="AI75" s="1">
        <v>51237</v>
      </c>
      <c r="AJ75" t="s">
        <v>89</v>
      </c>
      <c r="AK75">
        <v>0</v>
      </c>
      <c r="AP75" t="s">
        <v>79</v>
      </c>
      <c r="AQ75">
        <v>2</v>
      </c>
      <c r="AR75">
        <v>2</v>
      </c>
      <c r="AT75">
        <v>1</v>
      </c>
      <c r="AU75">
        <v>1</v>
      </c>
      <c r="AV75">
        <v>0</v>
      </c>
      <c r="AW75" s="1">
        <v>1150</v>
      </c>
      <c r="AX75">
        <v>0</v>
      </c>
      <c r="AY75">
        <v>0</v>
      </c>
      <c r="AZ75">
        <v>0</v>
      </c>
      <c r="BA75">
        <v>0</v>
      </c>
      <c r="BB75">
        <v>0</v>
      </c>
      <c r="BC75">
        <v>0</v>
      </c>
      <c r="BI75" t="s">
        <v>471</v>
      </c>
      <c r="BO75" t="s">
        <v>84</v>
      </c>
      <c r="BQ75" t="s">
        <v>470</v>
      </c>
      <c r="BR75" s="2">
        <v>46249.7108912037</v>
      </c>
    </row>
    <row r="76" spans="1:70">
      <c r="A76" t="s">
        <v>472</v>
      </c>
      <c r="B76" t="s">
        <v>71</v>
      </c>
      <c r="C76">
        <v>403</v>
      </c>
      <c r="E76" t="s">
        <v>87</v>
      </c>
      <c r="F76" t="s">
        <v>88</v>
      </c>
      <c r="H76">
        <v>0</v>
      </c>
      <c r="I76">
        <v>0</v>
      </c>
      <c r="K76">
        <v>0</v>
      </c>
      <c r="L76">
        <v>0</v>
      </c>
      <c r="N76">
        <v>0</v>
      </c>
      <c r="P76">
        <v>0</v>
      </c>
      <c r="R76">
        <v>0</v>
      </c>
      <c r="T76">
        <v>0</v>
      </c>
      <c r="V76">
        <v>0</v>
      </c>
      <c r="AF76">
        <v>5707</v>
      </c>
      <c r="AG76">
        <v>4716</v>
      </c>
      <c r="AH76">
        <v>111431</v>
      </c>
      <c r="AI76" s="1">
        <v>39503</v>
      </c>
      <c r="AJ76" t="s">
        <v>89</v>
      </c>
      <c r="AK76">
        <v>0</v>
      </c>
      <c r="AP76" t="s">
        <v>79</v>
      </c>
      <c r="AQ76">
        <v>2</v>
      </c>
      <c r="AR76">
        <v>1</v>
      </c>
      <c r="AT76">
        <v>2</v>
      </c>
      <c r="AU76">
        <v>2</v>
      </c>
      <c r="AV76">
        <v>0</v>
      </c>
      <c r="AW76" s="1">
        <v>2300</v>
      </c>
      <c r="AX76">
        <v>0</v>
      </c>
      <c r="AY76">
        <v>0</v>
      </c>
      <c r="AZ76">
        <v>0</v>
      </c>
      <c r="BA76">
        <v>0</v>
      </c>
      <c r="BB76">
        <v>0</v>
      </c>
      <c r="BC76">
        <v>0</v>
      </c>
      <c r="BI76" t="s">
        <v>473</v>
      </c>
      <c r="BO76" t="s">
        <v>84</v>
      </c>
      <c r="BQ76" t="s">
        <v>472</v>
      </c>
      <c r="BR76" s="2">
        <v>46249.710972222223</v>
      </c>
    </row>
    <row r="77" spans="1:70">
      <c r="A77" t="s">
        <v>474</v>
      </c>
      <c r="B77" t="s">
        <v>71</v>
      </c>
      <c r="C77">
        <v>200</v>
      </c>
      <c r="E77" t="s">
        <v>72</v>
      </c>
      <c r="G77" t="s">
        <v>475</v>
      </c>
      <c r="H77">
        <v>30</v>
      </c>
      <c r="I77">
        <v>301</v>
      </c>
      <c r="K77">
        <v>0</v>
      </c>
      <c r="L77">
        <v>0</v>
      </c>
      <c r="N77">
        <v>0</v>
      </c>
      <c r="O77" t="s">
        <v>476</v>
      </c>
      <c r="P77">
        <v>21</v>
      </c>
      <c r="R77">
        <v>0</v>
      </c>
      <c r="S77" t="s">
        <v>477</v>
      </c>
      <c r="T77">
        <v>20</v>
      </c>
      <c r="U77" t="s">
        <v>476</v>
      </c>
      <c r="V77">
        <v>21</v>
      </c>
      <c r="W77" t="s">
        <v>77</v>
      </c>
      <c r="Z77" t="s">
        <v>474</v>
      </c>
      <c r="AF77">
        <v>153586</v>
      </c>
      <c r="AG77">
        <v>33521</v>
      </c>
      <c r="AH77">
        <v>2727888</v>
      </c>
      <c r="AI77" s="1">
        <v>967050</v>
      </c>
      <c r="AJ77" t="s">
        <v>78</v>
      </c>
      <c r="AK77">
        <v>415</v>
      </c>
      <c r="AL77">
        <v>96</v>
      </c>
      <c r="AM77" s="1">
        <v>4323</v>
      </c>
      <c r="AN77" t="s">
        <v>79</v>
      </c>
      <c r="AO77" t="s">
        <v>80</v>
      </c>
      <c r="AP77" s="1">
        <v>2216</v>
      </c>
      <c r="AQ77">
        <v>2</v>
      </c>
      <c r="AR77">
        <v>2</v>
      </c>
      <c r="AT77">
        <v>6</v>
      </c>
      <c r="AU77">
        <v>2</v>
      </c>
      <c r="AV77">
        <v>1</v>
      </c>
      <c r="AW77" s="1">
        <v>2300</v>
      </c>
      <c r="AX77">
        <v>113</v>
      </c>
      <c r="AY77">
        <v>29</v>
      </c>
      <c r="AZ77">
        <v>0</v>
      </c>
      <c r="BA77">
        <v>10</v>
      </c>
      <c r="BB77">
        <v>8</v>
      </c>
      <c r="BC77">
        <v>2</v>
      </c>
      <c r="BH77" t="s">
        <v>478</v>
      </c>
      <c r="BI77" s="1">
        <v>2822</v>
      </c>
      <c r="BJ77" t="s">
        <v>479</v>
      </c>
      <c r="BN77" t="s">
        <v>83</v>
      </c>
      <c r="BO77" t="s">
        <v>84</v>
      </c>
      <c r="BQ77" t="s">
        <v>474</v>
      </c>
      <c r="BR77" s="2">
        <v>46249.710821759261</v>
      </c>
    </row>
    <row r="78" spans="1:70">
      <c r="A78" t="s">
        <v>480</v>
      </c>
      <c r="B78" t="s">
        <v>71</v>
      </c>
      <c r="C78">
        <v>404</v>
      </c>
      <c r="E78" t="s">
        <v>87</v>
      </c>
      <c r="F78" t="s">
        <v>88</v>
      </c>
      <c r="H78">
        <v>0</v>
      </c>
      <c r="I78">
        <v>0</v>
      </c>
      <c r="K78">
        <v>0</v>
      </c>
      <c r="L78">
        <v>0</v>
      </c>
      <c r="N78">
        <v>0</v>
      </c>
      <c r="P78">
        <v>0</v>
      </c>
      <c r="R78">
        <v>0</v>
      </c>
      <c r="T78">
        <v>0</v>
      </c>
      <c r="V78">
        <v>0</v>
      </c>
      <c r="AF78">
        <v>120632</v>
      </c>
      <c r="AG78">
        <v>28512</v>
      </c>
      <c r="AH78">
        <v>873691</v>
      </c>
      <c r="AI78" s="1">
        <v>309728</v>
      </c>
      <c r="AJ78" t="s">
        <v>94</v>
      </c>
      <c r="AK78">
        <v>0</v>
      </c>
      <c r="AP78" t="s">
        <v>79</v>
      </c>
      <c r="AQ78">
        <v>2</v>
      </c>
      <c r="AR78">
        <v>1</v>
      </c>
      <c r="AT78">
        <v>1</v>
      </c>
      <c r="AU78">
        <v>1</v>
      </c>
      <c r="AV78">
        <v>0</v>
      </c>
      <c r="AW78" s="1">
        <v>1150</v>
      </c>
      <c r="AX78">
        <v>0</v>
      </c>
      <c r="AY78">
        <v>0</v>
      </c>
      <c r="AZ78">
        <v>0</v>
      </c>
      <c r="BA78">
        <v>0</v>
      </c>
      <c r="BB78">
        <v>0</v>
      </c>
      <c r="BC78">
        <v>0</v>
      </c>
      <c r="BI78" s="1">
        <v>2460</v>
      </c>
      <c r="BO78" t="s">
        <v>84</v>
      </c>
      <c r="BQ78" t="s">
        <v>480</v>
      </c>
      <c r="BR78" s="2">
        <v>46249.710972222223</v>
      </c>
    </row>
    <row r="79" spans="1:70">
      <c r="A79" t="s">
        <v>481</v>
      </c>
      <c r="B79" t="s">
        <v>207</v>
      </c>
      <c r="C79">
        <v>200</v>
      </c>
      <c r="E79" t="s">
        <v>72</v>
      </c>
      <c r="G79" t="s">
        <v>208</v>
      </c>
      <c r="H79">
        <v>27</v>
      </c>
      <c r="I79">
        <v>262</v>
      </c>
      <c r="K79">
        <v>0</v>
      </c>
      <c r="L79">
        <v>0</v>
      </c>
      <c r="N79">
        <v>0</v>
      </c>
      <c r="O79" t="s">
        <v>482</v>
      </c>
      <c r="P79">
        <v>47</v>
      </c>
      <c r="R79">
        <v>0</v>
      </c>
      <c r="T79">
        <v>0</v>
      </c>
      <c r="V79">
        <v>0</v>
      </c>
      <c r="AF79">
        <v>256303</v>
      </c>
      <c r="AG79">
        <v>22437</v>
      </c>
      <c r="AH79">
        <v>1029629</v>
      </c>
      <c r="AI79" s="1">
        <v>365009</v>
      </c>
      <c r="AJ79" t="s">
        <v>210</v>
      </c>
      <c r="AK79">
        <v>2213</v>
      </c>
      <c r="AL79">
        <v>561</v>
      </c>
      <c r="AM79" s="1">
        <v>3945</v>
      </c>
      <c r="AN79" s="1">
        <v>100000</v>
      </c>
      <c r="AO79" t="s">
        <v>394</v>
      </c>
      <c r="AP79" s="1">
        <v>6281</v>
      </c>
      <c r="AQ79">
        <v>2</v>
      </c>
      <c r="AR79">
        <v>1</v>
      </c>
      <c r="AT79">
        <v>16</v>
      </c>
      <c r="AU79">
        <v>4</v>
      </c>
      <c r="AV79">
        <v>4</v>
      </c>
      <c r="AW79" s="1">
        <v>4600</v>
      </c>
      <c r="AX79">
        <v>7</v>
      </c>
      <c r="AY79">
        <v>6</v>
      </c>
      <c r="AZ79">
        <v>0</v>
      </c>
      <c r="BA79">
        <v>2</v>
      </c>
      <c r="BB79">
        <v>2</v>
      </c>
      <c r="BC79">
        <v>0</v>
      </c>
      <c r="BH79" t="s">
        <v>483</v>
      </c>
      <c r="BI79" t="s">
        <v>484</v>
      </c>
      <c r="BN79" t="s">
        <v>214</v>
      </c>
      <c r="BO79" t="s">
        <v>84</v>
      </c>
      <c r="BQ79" t="s">
        <v>481</v>
      </c>
      <c r="BR79" s="2">
        <v>46249.710972222223</v>
      </c>
    </row>
    <row r="80" spans="1:70">
      <c r="A80" t="s">
        <v>485</v>
      </c>
      <c r="B80" t="s">
        <v>207</v>
      </c>
      <c r="C80">
        <v>200</v>
      </c>
      <c r="E80" t="s">
        <v>72</v>
      </c>
      <c r="G80" t="s">
        <v>208</v>
      </c>
      <c r="H80">
        <v>27</v>
      </c>
      <c r="I80">
        <v>262</v>
      </c>
      <c r="K80">
        <v>0</v>
      </c>
      <c r="L80">
        <v>0</v>
      </c>
      <c r="N80">
        <v>0</v>
      </c>
      <c r="O80" t="s">
        <v>486</v>
      </c>
      <c r="P80">
        <v>28</v>
      </c>
      <c r="R80">
        <v>0</v>
      </c>
      <c r="T80">
        <v>0</v>
      </c>
      <c r="V80">
        <v>0</v>
      </c>
      <c r="AF80">
        <v>264444</v>
      </c>
      <c r="AG80">
        <v>22593</v>
      </c>
      <c r="AH80">
        <v>1030375</v>
      </c>
      <c r="AI80" s="1">
        <v>365273</v>
      </c>
      <c r="AJ80" t="s">
        <v>210</v>
      </c>
      <c r="AK80">
        <v>3192</v>
      </c>
      <c r="AL80">
        <v>808</v>
      </c>
      <c r="AM80" s="1">
        <v>3950</v>
      </c>
      <c r="AN80" s="1">
        <v>100000</v>
      </c>
      <c r="AO80" t="s">
        <v>394</v>
      </c>
      <c r="AP80" s="1">
        <v>6091</v>
      </c>
      <c r="AQ80">
        <v>2</v>
      </c>
      <c r="AR80">
        <v>1</v>
      </c>
      <c r="AT80">
        <v>19</v>
      </c>
      <c r="AU80">
        <v>5</v>
      </c>
      <c r="AV80">
        <v>4</v>
      </c>
      <c r="AW80" s="1">
        <v>5750</v>
      </c>
      <c r="AX80">
        <v>7</v>
      </c>
      <c r="AY80">
        <v>6</v>
      </c>
      <c r="AZ80">
        <v>0</v>
      </c>
      <c r="BA80">
        <v>2</v>
      </c>
      <c r="BB80">
        <v>2</v>
      </c>
      <c r="BC80">
        <v>0</v>
      </c>
      <c r="BH80" t="s">
        <v>487</v>
      </c>
      <c r="BI80" t="s">
        <v>488</v>
      </c>
      <c r="BN80" t="s">
        <v>214</v>
      </c>
      <c r="BO80" t="s">
        <v>84</v>
      </c>
      <c r="BQ80" t="s">
        <v>485</v>
      </c>
      <c r="BR80" s="2">
        <v>46249.7109837963</v>
      </c>
    </row>
    <row r="81" spans="1:70">
      <c r="A81" t="s">
        <v>489</v>
      </c>
      <c r="B81" t="s">
        <v>71</v>
      </c>
      <c r="C81">
        <v>403</v>
      </c>
      <c r="E81" t="s">
        <v>87</v>
      </c>
      <c r="F81" t="s">
        <v>88</v>
      </c>
      <c r="H81">
        <v>0</v>
      </c>
      <c r="I81">
        <v>0</v>
      </c>
      <c r="K81">
        <v>0</v>
      </c>
      <c r="L81">
        <v>0</v>
      </c>
      <c r="N81">
        <v>0</v>
      </c>
      <c r="P81">
        <v>0</v>
      </c>
      <c r="R81">
        <v>0</v>
      </c>
      <c r="T81">
        <v>0</v>
      </c>
      <c r="V81">
        <v>0</v>
      </c>
      <c r="AF81">
        <v>5774</v>
      </c>
      <c r="AG81">
        <v>3799</v>
      </c>
      <c r="AH81">
        <v>110297</v>
      </c>
      <c r="AI81" s="1">
        <v>39101</v>
      </c>
      <c r="AJ81" t="s">
        <v>89</v>
      </c>
      <c r="AK81">
        <v>0</v>
      </c>
      <c r="AP81" t="s">
        <v>79</v>
      </c>
      <c r="AQ81">
        <v>2</v>
      </c>
      <c r="AR81">
        <v>2</v>
      </c>
      <c r="AT81">
        <v>7</v>
      </c>
      <c r="AU81">
        <v>5</v>
      </c>
      <c r="AV81">
        <v>0</v>
      </c>
      <c r="AW81" s="1">
        <v>5750</v>
      </c>
      <c r="AX81">
        <v>0</v>
      </c>
      <c r="AY81">
        <v>0</v>
      </c>
      <c r="AZ81">
        <v>0</v>
      </c>
      <c r="BA81">
        <v>0</v>
      </c>
      <c r="BB81">
        <v>0</v>
      </c>
      <c r="BC81">
        <v>0</v>
      </c>
      <c r="BI81" t="s">
        <v>490</v>
      </c>
      <c r="BO81" t="s">
        <v>84</v>
      </c>
      <c r="BQ81" t="s">
        <v>489</v>
      </c>
      <c r="BR81" s="2">
        <v>46249.711087962962</v>
      </c>
    </row>
    <row r="82" spans="1:70">
      <c r="A82" t="s">
        <v>491</v>
      </c>
      <c r="B82" t="s">
        <v>207</v>
      </c>
      <c r="C82">
        <v>200</v>
      </c>
      <c r="E82" t="s">
        <v>72</v>
      </c>
      <c r="G82" t="s">
        <v>208</v>
      </c>
      <c r="H82">
        <v>27</v>
      </c>
      <c r="I82">
        <v>262</v>
      </c>
      <c r="K82">
        <v>0</v>
      </c>
      <c r="L82">
        <v>0</v>
      </c>
      <c r="N82">
        <v>0</v>
      </c>
      <c r="O82" t="s">
        <v>492</v>
      </c>
      <c r="P82">
        <v>30</v>
      </c>
      <c r="R82">
        <v>0</v>
      </c>
      <c r="T82">
        <v>0</v>
      </c>
      <c r="V82">
        <v>0</v>
      </c>
      <c r="AF82">
        <v>254208</v>
      </c>
      <c r="AG82">
        <v>22319</v>
      </c>
      <c r="AH82">
        <v>1029419</v>
      </c>
      <c r="AI82" s="1">
        <v>364934</v>
      </c>
      <c r="AJ82" t="s">
        <v>210</v>
      </c>
      <c r="AK82">
        <v>2211</v>
      </c>
      <c r="AL82">
        <v>561</v>
      </c>
      <c r="AM82" s="1">
        <v>3941</v>
      </c>
      <c r="AN82" s="1">
        <v>100000</v>
      </c>
      <c r="AO82" t="s">
        <v>394</v>
      </c>
      <c r="AP82" s="1">
        <v>6607</v>
      </c>
      <c r="AQ82">
        <v>2</v>
      </c>
      <c r="AR82">
        <v>1</v>
      </c>
      <c r="AT82">
        <v>54</v>
      </c>
      <c r="AU82">
        <v>8</v>
      </c>
      <c r="AV82">
        <v>19</v>
      </c>
      <c r="AW82" s="1">
        <v>9200</v>
      </c>
      <c r="AX82">
        <v>7</v>
      </c>
      <c r="AY82">
        <v>6</v>
      </c>
      <c r="AZ82">
        <v>0</v>
      </c>
      <c r="BA82">
        <v>2</v>
      </c>
      <c r="BB82">
        <v>2</v>
      </c>
      <c r="BC82">
        <v>0</v>
      </c>
      <c r="BH82" s="3" t="s">
        <v>493</v>
      </c>
      <c r="BI82" t="s">
        <v>494</v>
      </c>
      <c r="BN82" t="s">
        <v>214</v>
      </c>
      <c r="BO82" t="s">
        <v>84</v>
      </c>
      <c r="BQ82" t="s">
        <v>491</v>
      </c>
      <c r="BR82" s="2">
        <v>46249.711006944446</v>
      </c>
    </row>
    <row r="83" spans="1:70">
      <c r="A83" t="s">
        <v>495</v>
      </c>
      <c r="B83" t="s">
        <v>71</v>
      </c>
      <c r="C83">
        <v>404</v>
      </c>
      <c r="E83" t="s">
        <v>87</v>
      </c>
      <c r="F83" t="s">
        <v>88</v>
      </c>
      <c r="H83">
        <v>0</v>
      </c>
      <c r="I83">
        <v>0</v>
      </c>
      <c r="K83">
        <v>0</v>
      </c>
      <c r="L83">
        <v>0</v>
      </c>
      <c r="N83">
        <v>0</v>
      </c>
      <c r="P83">
        <v>0</v>
      </c>
      <c r="R83">
        <v>0</v>
      </c>
      <c r="T83">
        <v>0</v>
      </c>
      <c r="V83">
        <v>0</v>
      </c>
      <c r="AF83">
        <v>120669</v>
      </c>
      <c r="AG83">
        <v>28707</v>
      </c>
      <c r="AH83">
        <v>898274</v>
      </c>
      <c r="AI83" s="1">
        <v>318443</v>
      </c>
      <c r="AJ83" t="s">
        <v>94</v>
      </c>
      <c r="AK83">
        <v>0</v>
      </c>
      <c r="AP83" t="s">
        <v>79</v>
      </c>
      <c r="AQ83">
        <v>2</v>
      </c>
      <c r="AR83">
        <v>2</v>
      </c>
      <c r="AT83">
        <v>1</v>
      </c>
      <c r="AU83">
        <v>1</v>
      </c>
      <c r="AV83">
        <v>0</v>
      </c>
      <c r="AW83" s="1">
        <v>1150</v>
      </c>
      <c r="AX83">
        <v>0</v>
      </c>
      <c r="AY83">
        <v>0</v>
      </c>
      <c r="AZ83">
        <v>0</v>
      </c>
      <c r="BA83">
        <v>0</v>
      </c>
      <c r="BB83">
        <v>0</v>
      </c>
      <c r="BC83">
        <v>0</v>
      </c>
      <c r="BI83" s="1">
        <v>2167</v>
      </c>
      <c r="BO83" t="s">
        <v>104</v>
      </c>
      <c r="BQ83" t="s">
        <v>495</v>
      </c>
      <c r="BR83" s="2">
        <v>46249.711041666669</v>
      </c>
    </row>
    <row r="84" spans="1:70">
      <c r="A84" t="s">
        <v>496</v>
      </c>
      <c r="B84" t="s">
        <v>71</v>
      </c>
      <c r="C84">
        <v>200</v>
      </c>
      <c r="E84" t="s">
        <v>72</v>
      </c>
      <c r="G84" t="s">
        <v>497</v>
      </c>
      <c r="H84">
        <v>73</v>
      </c>
      <c r="I84">
        <v>700</v>
      </c>
      <c r="K84">
        <v>0</v>
      </c>
      <c r="L84">
        <v>0</v>
      </c>
      <c r="N84">
        <v>0</v>
      </c>
      <c r="O84" t="s">
        <v>498</v>
      </c>
      <c r="P84">
        <v>54</v>
      </c>
      <c r="R84">
        <v>0</v>
      </c>
      <c r="S84" t="s">
        <v>499</v>
      </c>
      <c r="T84">
        <v>99</v>
      </c>
      <c r="U84" t="s">
        <v>500</v>
      </c>
      <c r="V84">
        <v>87</v>
      </c>
      <c r="W84" t="s">
        <v>77</v>
      </c>
      <c r="Z84" t="s">
        <v>496</v>
      </c>
      <c r="AF84">
        <v>169032</v>
      </c>
      <c r="AG84">
        <v>36907</v>
      </c>
      <c r="AH84">
        <v>2853783</v>
      </c>
      <c r="AI84" s="1">
        <v>1011680</v>
      </c>
      <c r="AJ84" t="s">
        <v>78</v>
      </c>
      <c r="AK84">
        <v>756</v>
      </c>
      <c r="AL84">
        <v>153</v>
      </c>
      <c r="AM84" s="1">
        <v>4941</v>
      </c>
      <c r="AN84" t="s">
        <v>79</v>
      </c>
      <c r="AO84" t="s">
        <v>80</v>
      </c>
      <c r="AP84" s="1">
        <v>3337</v>
      </c>
      <c r="AQ84">
        <v>2</v>
      </c>
      <c r="AR84">
        <v>1</v>
      </c>
      <c r="AT84">
        <v>7</v>
      </c>
      <c r="AU84">
        <v>2</v>
      </c>
      <c r="AV84">
        <v>1</v>
      </c>
      <c r="AW84" s="1">
        <v>2300</v>
      </c>
      <c r="AX84">
        <v>127</v>
      </c>
      <c r="AY84">
        <v>30</v>
      </c>
      <c r="AZ84">
        <v>0</v>
      </c>
      <c r="BA84">
        <v>16</v>
      </c>
      <c r="BB84">
        <v>9</v>
      </c>
      <c r="BC84">
        <v>3</v>
      </c>
      <c r="BH84" t="s">
        <v>501</v>
      </c>
      <c r="BI84" s="1">
        <v>2276</v>
      </c>
      <c r="BJ84" t="s">
        <v>502</v>
      </c>
      <c r="BN84" t="s">
        <v>83</v>
      </c>
      <c r="BO84" t="s">
        <v>84</v>
      </c>
      <c r="BQ84" t="s">
        <v>496</v>
      </c>
      <c r="BR84" s="2">
        <v>46249.710995370369</v>
      </c>
    </row>
    <row r="85" spans="1:70">
      <c r="A85" t="s">
        <v>503</v>
      </c>
      <c r="B85" t="s">
        <v>71</v>
      </c>
      <c r="C85">
        <v>404</v>
      </c>
      <c r="E85" t="s">
        <v>87</v>
      </c>
      <c r="F85" t="s">
        <v>88</v>
      </c>
      <c r="H85">
        <v>0</v>
      </c>
      <c r="I85">
        <v>0</v>
      </c>
      <c r="K85">
        <v>0</v>
      </c>
      <c r="L85">
        <v>0</v>
      </c>
      <c r="N85">
        <v>0</v>
      </c>
      <c r="P85">
        <v>0</v>
      </c>
      <c r="R85">
        <v>0</v>
      </c>
      <c r="T85">
        <v>0</v>
      </c>
      <c r="V85">
        <v>0</v>
      </c>
      <c r="AF85">
        <v>120655</v>
      </c>
      <c r="AG85">
        <v>28697</v>
      </c>
      <c r="AH85">
        <v>898427</v>
      </c>
      <c r="AI85" s="1">
        <v>318497</v>
      </c>
      <c r="AJ85" t="s">
        <v>94</v>
      </c>
      <c r="AK85">
        <v>0</v>
      </c>
      <c r="AP85" t="s">
        <v>79</v>
      </c>
      <c r="AQ85">
        <v>2</v>
      </c>
      <c r="AR85">
        <v>2</v>
      </c>
      <c r="AT85">
        <v>1</v>
      </c>
      <c r="AU85">
        <v>1</v>
      </c>
      <c r="AV85">
        <v>0</v>
      </c>
      <c r="AW85" s="1">
        <v>1150</v>
      </c>
      <c r="AX85">
        <v>0</v>
      </c>
      <c r="AY85">
        <v>0</v>
      </c>
      <c r="AZ85">
        <v>0</v>
      </c>
      <c r="BA85">
        <v>0</v>
      </c>
      <c r="BB85">
        <v>0</v>
      </c>
      <c r="BC85">
        <v>0</v>
      </c>
      <c r="BI85" s="1">
        <v>2837</v>
      </c>
      <c r="BO85" t="s">
        <v>104</v>
      </c>
      <c r="BQ85" t="s">
        <v>503</v>
      </c>
      <c r="BR85" s="2">
        <v>46249.711122685185</v>
      </c>
    </row>
    <row r="86" spans="1:70">
      <c r="A86" t="s">
        <v>504</v>
      </c>
      <c r="B86" t="s">
        <v>71</v>
      </c>
      <c r="C86">
        <v>200</v>
      </c>
      <c r="E86" t="s">
        <v>72</v>
      </c>
      <c r="G86" t="s">
        <v>505</v>
      </c>
      <c r="H86">
        <v>27</v>
      </c>
      <c r="I86">
        <v>274</v>
      </c>
      <c r="K86">
        <v>0</v>
      </c>
      <c r="L86">
        <v>0</v>
      </c>
      <c r="N86">
        <v>0</v>
      </c>
      <c r="O86" t="s">
        <v>506</v>
      </c>
      <c r="P86">
        <v>34</v>
      </c>
      <c r="R86">
        <v>0</v>
      </c>
      <c r="S86" t="s">
        <v>507</v>
      </c>
      <c r="T86">
        <v>15</v>
      </c>
      <c r="U86" t="s">
        <v>508</v>
      </c>
      <c r="V86">
        <v>15</v>
      </c>
      <c r="W86" t="s">
        <v>77</v>
      </c>
      <c r="Z86" t="s">
        <v>504</v>
      </c>
      <c r="AF86">
        <v>157349</v>
      </c>
      <c r="AG86">
        <v>33607</v>
      </c>
      <c r="AH86">
        <v>3263094</v>
      </c>
      <c r="AI86" s="1">
        <v>1156783</v>
      </c>
      <c r="AJ86" t="s">
        <v>78</v>
      </c>
      <c r="AK86">
        <v>342</v>
      </c>
      <c r="AL86">
        <v>83</v>
      </c>
      <c r="AM86" s="1">
        <v>4120</v>
      </c>
      <c r="AN86" s="1">
        <v>4758</v>
      </c>
      <c r="AO86" t="s">
        <v>80</v>
      </c>
      <c r="AP86" s="1">
        <v>1907</v>
      </c>
      <c r="AQ86">
        <v>2</v>
      </c>
      <c r="AR86">
        <v>2</v>
      </c>
      <c r="AT86">
        <v>12</v>
      </c>
      <c r="AU86">
        <v>6</v>
      </c>
      <c r="AV86">
        <v>1</v>
      </c>
      <c r="AW86" s="1">
        <v>6900</v>
      </c>
      <c r="AX86">
        <v>113</v>
      </c>
      <c r="AY86">
        <v>29</v>
      </c>
      <c r="AZ86">
        <v>0</v>
      </c>
      <c r="BA86">
        <v>10</v>
      </c>
      <c r="BB86">
        <v>8</v>
      </c>
      <c r="BC86">
        <v>2</v>
      </c>
      <c r="BH86" t="s">
        <v>509</v>
      </c>
      <c r="BI86" t="s">
        <v>510</v>
      </c>
      <c r="BJ86" t="s">
        <v>511</v>
      </c>
      <c r="BN86" t="s">
        <v>83</v>
      </c>
      <c r="BO86" t="s">
        <v>84</v>
      </c>
      <c r="BQ86" t="s">
        <v>504</v>
      </c>
      <c r="BR86" s="2">
        <v>46249.711099537039</v>
      </c>
    </row>
    <row r="87" spans="1:70">
      <c r="A87" t="s">
        <v>512</v>
      </c>
      <c r="B87" t="s">
        <v>71</v>
      </c>
      <c r="C87">
        <v>200</v>
      </c>
      <c r="E87" t="s">
        <v>72</v>
      </c>
      <c r="G87" t="s">
        <v>513</v>
      </c>
      <c r="H87">
        <v>28</v>
      </c>
      <c r="I87">
        <v>276</v>
      </c>
      <c r="K87">
        <v>0</v>
      </c>
      <c r="L87">
        <v>0</v>
      </c>
      <c r="N87">
        <v>0</v>
      </c>
      <c r="O87" t="s">
        <v>514</v>
      </c>
      <c r="P87">
        <v>27</v>
      </c>
      <c r="R87">
        <v>0</v>
      </c>
      <c r="S87" t="s">
        <v>515</v>
      </c>
      <c r="T87">
        <v>33</v>
      </c>
      <c r="U87" t="s">
        <v>514</v>
      </c>
      <c r="V87">
        <v>27</v>
      </c>
      <c r="W87" t="s">
        <v>77</v>
      </c>
      <c r="Z87" t="s">
        <v>512</v>
      </c>
      <c r="AF87">
        <v>155903</v>
      </c>
      <c r="AG87">
        <v>33838</v>
      </c>
      <c r="AH87">
        <v>4691341</v>
      </c>
      <c r="AI87" s="1">
        <v>1663104</v>
      </c>
      <c r="AJ87" t="s">
        <v>78</v>
      </c>
      <c r="AK87">
        <v>455</v>
      </c>
      <c r="AL87">
        <v>96</v>
      </c>
      <c r="AM87" s="1">
        <v>4740</v>
      </c>
      <c r="AN87" s="1">
        <v>7351</v>
      </c>
      <c r="AO87" t="s">
        <v>80</v>
      </c>
      <c r="AP87" s="1">
        <v>2270</v>
      </c>
      <c r="AQ87">
        <v>2</v>
      </c>
      <c r="AR87">
        <v>2</v>
      </c>
      <c r="AT87">
        <v>10</v>
      </c>
      <c r="AU87">
        <v>5</v>
      </c>
      <c r="AV87">
        <v>1</v>
      </c>
      <c r="AW87" s="1">
        <v>5750</v>
      </c>
      <c r="AX87">
        <v>113</v>
      </c>
      <c r="AY87">
        <v>29</v>
      </c>
      <c r="AZ87">
        <v>0</v>
      </c>
      <c r="BA87">
        <v>10</v>
      </c>
      <c r="BB87">
        <v>8</v>
      </c>
      <c r="BC87">
        <v>2</v>
      </c>
      <c r="BH87" t="s">
        <v>516</v>
      </c>
      <c r="BI87" s="1">
        <v>2604</v>
      </c>
      <c r="BJ87" t="s">
        <v>511</v>
      </c>
      <c r="BN87" t="s">
        <v>83</v>
      </c>
      <c r="BO87" t="s">
        <v>84</v>
      </c>
      <c r="BQ87" t="s">
        <v>512</v>
      </c>
      <c r="BR87" s="2">
        <v>46249.711064814815</v>
      </c>
    </row>
    <row r="88" spans="1:70">
      <c r="A88" t="s">
        <v>517</v>
      </c>
      <c r="B88" t="s">
        <v>71</v>
      </c>
      <c r="C88">
        <v>200</v>
      </c>
      <c r="E88" t="s">
        <v>72</v>
      </c>
      <c r="G88" t="s">
        <v>518</v>
      </c>
      <c r="H88">
        <v>28</v>
      </c>
      <c r="I88">
        <v>295</v>
      </c>
      <c r="K88">
        <v>0</v>
      </c>
      <c r="L88">
        <v>0</v>
      </c>
      <c r="N88">
        <v>0</v>
      </c>
      <c r="O88" t="s">
        <v>519</v>
      </c>
      <c r="P88">
        <v>60</v>
      </c>
      <c r="R88">
        <v>0</v>
      </c>
      <c r="S88" t="s">
        <v>520</v>
      </c>
      <c r="T88">
        <v>20</v>
      </c>
      <c r="U88" t="s">
        <v>521</v>
      </c>
      <c r="V88">
        <v>16</v>
      </c>
      <c r="W88" t="s">
        <v>77</v>
      </c>
      <c r="Z88" t="s">
        <v>517</v>
      </c>
      <c r="AF88">
        <v>148644</v>
      </c>
      <c r="AG88">
        <v>32604</v>
      </c>
      <c r="AH88">
        <v>3527907</v>
      </c>
      <c r="AI88" s="1">
        <v>1250661</v>
      </c>
      <c r="AJ88" t="s">
        <v>78</v>
      </c>
      <c r="AK88">
        <v>272</v>
      </c>
      <c r="AL88">
        <v>66</v>
      </c>
      <c r="AM88" s="1">
        <v>4121</v>
      </c>
      <c r="AN88" s="1">
        <v>25054</v>
      </c>
      <c r="AO88" t="s">
        <v>80</v>
      </c>
      <c r="AP88" s="1">
        <v>1694</v>
      </c>
      <c r="AQ88">
        <v>2</v>
      </c>
      <c r="AR88">
        <v>2</v>
      </c>
      <c r="AT88">
        <v>12</v>
      </c>
      <c r="AU88">
        <v>6</v>
      </c>
      <c r="AV88">
        <v>1</v>
      </c>
      <c r="AW88" s="1">
        <v>6900</v>
      </c>
      <c r="AX88">
        <v>113</v>
      </c>
      <c r="AY88">
        <v>29</v>
      </c>
      <c r="AZ88">
        <v>0</v>
      </c>
      <c r="BA88">
        <v>10</v>
      </c>
      <c r="BB88">
        <v>8</v>
      </c>
      <c r="BC88">
        <v>2</v>
      </c>
      <c r="BH88" t="s">
        <v>522</v>
      </c>
      <c r="BI88" t="s">
        <v>523</v>
      </c>
      <c r="BJ88" t="s">
        <v>524</v>
      </c>
      <c r="BN88" t="s">
        <v>83</v>
      </c>
      <c r="BO88" t="s">
        <v>84</v>
      </c>
      <c r="BQ88" t="s">
        <v>517</v>
      </c>
      <c r="BR88" s="2">
        <v>46249.711111111108</v>
      </c>
    </row>
    <row r="89" spans="1:70">
      <c r="A89" t="s">
        <v>525</v>
      </c>
      <c r="B89" t="s">
        <v>71</v>
      </c>
      <c r="C89">
        <v>404</v>
      </c>
      <c r="E89" t="s">
        <v>87</v>
      </c>
      <c r="F89" t="s">
        <v>88</v>
      </c>
      <c r="H89">
        <v>0</v>
      </c>
      <c r="I89">
        <v>0</v>
      </c>
      <c r="K89">
        <v>0</v>
      </c>
      <c r="L89">
        <v>0</v>
      </c>
      <c r="N89">
        <v>0</v>
      </c>
      <c r="P89">
        <v>0</v>
      </c>
      <c r="R89">
        <v>0</v>
      </c>
      <c r="T89">
        <v>0</v>
      </c>
      <c r="V89">
        <v>0</v>
      </c>
      <c r="AF89">
        <v>120655</v>
      </c>
      <c r="AG89">
        <v>28700</v>
      </c>
      <c r="AH89">
        <v>898388</v>
      </c>
      <c r="AI89" s="1">
        <v>318483</v>
      </c>
      <c r="AJ89" t="s">
        <v>94</v>
      </c>
      <c r="AK89">
        <v>0</v>
      </c>
      <c r="AP89" t="s">
        <v>79</v>
      </c>
      <c r="AQ89">
        <v>2</v>
      </c>
      <c r="AR89">
        <v>2</v>
      </c>
      <c r="AT89">
        <v>1</v>
      </c>
      <c r="AU89">
        <v>1</v>
      </c>
      <c r="AV89">
        <v>0</v>
      </c>
      <c r="AW89" s="1">
        <v>1150</v>
      </c>
      <c r="AX89">
        <v>0</v>
      </c>
      <c r="AY89">
        <v>0</v>
      </c>
      <c r="AZ89">
        <v>0</v>
      </c>
      <c r="BA89">
        <v>0</v>
      </c>
      <c r="BB89">
        <v>0</v>
      </c>
      <c r="BC89">
        <v>0</v>
      </c>
      <c r="BI89" s="1">
        <v>2952</v>
      </c>
      <c r="BO89" t="s">
        <v>104</v>
      </c>
      <c r="BQ89" t="s">
        <v>525</v>
      </c>
      <c r="BR89" s="2">
        <v>46249.711261574077</v>
      </c>
    </row>
    <row r="90" spans="1:70">
      <c r="A90" t="s">
        <v>526</v>
      </c>
      <c r="B90" t="s">
        <v>71</v>
      </c>
      <c r="C90">
        <v>200</v>
      </c>
      <c r="E90" t="s">
        <v>72</v>
      </c>
      <c r="G90" t="s">
        <v>527</v>
      </c>
      <c r="H90">
        <v>28</v>
      </c>
      <c r="I90">
        <v>296</v>
      </c>
      <c r="K90">
        <v>0</v>
      </c>
      <c r="L90">
        <v>0</v>
      </c>
      <c r="N90">
        <v>0</v>
      </c>
      <c r="O90" t="s">
        <v>519</v>
      </c>
      <c r="P90">
        <v>60</v>
      </c>
      <c r="R90">
        <v>0</v>
      </c>
      <c r="S90" t="s">
        <v>520</v>
      </c>
      <c r="T90">
        <v>20</v>
      </c>
      <c r="U90" t="s">
        <v>528</v>
      </c>
      <c r="V90">
        <v>35</v>
      </c>
      <c r="W90" t="s">
        <v>77</v>
      </c>
      <c r="Z90" t="s">
        <v>526</v>
      </c>
      <c r="AF90">
        <v>159777</v>
      </c>
      <c r="AG90">
        <v>34078</v>
      </c>
      <c r="AH90">
        <v>4627487</v>
      </c>
      <c r="AI90" s="1">
        <v>1640467</v>
      </c>
      <c r="AJ90" t="s">
        <v>78</v>
      </c>
      <c r="AK90">
        <v>387</v>
      </c>
      <c r="AL90">
        <v>88</v>
      </c>
      <c r="AM90" s="1">
        <v>4398</v>
      </c>
      <c r="AN90" s="1">
        <v>8688</v>
      </c>
      <c r="AO90" t="s">
        <v>80</v>
      </c>
      <c r="AP90" s="1">
        <v>2011</v>
      </c>
      <c r="AQ90">
        <v>2</v>
      </c>
      <c r="AR90">
        <v>2</v>
      </c>
      <c r="AT90">
        <v>10</v>
      </c>
      <c r="AU90">
        <v>5</v>
      </c>
      <c r="AV90">
        <v>1</v>
      </c>
      <c r="AW90" s="1">
        <v>5750</v>
      </c>
      <c r="AX90">
        <v>113</v>
      </c>
      <c r="AY90">
        <v>29</v>
      </c>
      <c r="AZ90">
        <v>0</v>
      </c>
      <c r="BA90">
        <v>10</v>
      </c>
      <c r="BB90">
        <v>8</v>
      </c>
      <c r="BC90">
        <v>2</v>
      </c>
      <c r="BH90" t="s">
        <v>529</v>
      </c>
      <c r="BI90" s="1">
        <v>2714</v>
      </c>
      <c r="BJ90" t="s">
        <v>530</v>
      </c>
      <c r="BN90" t="s">
        <v>83</v>
      </c>
      <c r="BO90" t="s">
        <v>104</v>
      </c>
      <c r="BQ90" t="s">
        <v>526</v>
      </c>
      <c r="BR90" s="2">
        <v>46249.711180555554</v>
      </c>
    </row>
    <row r="91" spans="1:70">
      <c r="A91" t="s">
        <v>531</v>
      </c>
      <c r="B91" t="s">
        <v>71</v>
      </c>
      <c r="C91">
        <v>200</v>
      </c>
      <c r="E91" t="s">
        <v>72</v>
      </c>
      <c r="G91" t="s">
        <v>532</v>
      </c>
      <c r="H91">
        <v>27</v>
      </c>
      <c r="I91">
        <v>258</v>
      </c>
      <c r="K91">
        <v>0</v>
      </c>
      <c r="L91">
        <v>0</v>
      </c>
      <c r="N91">
        <v>0</v>
      </c>
      <c r="O91" t="s">
        <v>533</v>
      </c>
      <c r="P91">
        <v>51</v>
      </c>
      <c r="R91">
        <v>0</v>
      </c>
      <c r="S91" t="s">
        <v>507</v>
      </c>
      <c r="T91">
        <v>15</v>
      </c>
      <c r="U91" t="s">
        <v>534</v>
      </c>
      <c r="V91">
        <v>15</v>
      </c>
      <c r="W91" t="s">
        <v>77</v>
      </c>
      <c r="Z91" t="s">
        <v>531</v>
      </c>
      <c r="AF91">
        <v>157971</v>
      </c>
      <c r="AG91">
        <v>33973</v>
      </c>
      <c r="AH91">
        <v>4118886</v>
      </c>
      <c r="AI91" s="1">
        <v>1460166</v>
      </c>
      <c r="AJ91" t="s">
        <v>78</v>
      </c>
      <c r="AK91">
        <v>393</v>
      </c>
      <c r="AL91">
        <v>95</v>
      </c>
      <c r="AM91" s="1">
        <v>4137</v>
      </c>
      <c r="AN91" t="s">
        <v>79</v>
      </c>
      <c r="AO91" t="s">
        <v>80</v>
      </c>
      <c r="AP91" s="1">
        <v>2082</v>
      </c>
      <c r="AQ91">
        <v>2</v>
      </c>
      <c r="AR91">
        <v>2</v>
      </c>
      <c r="AT91">
        <v>12</v>
      </c>
      <c r="AU91">
        <v>6</v>
      </c>
      <c r="AV91">
        <v>1</v>
      </c>
      <c r="AW91" s="1">
        <v>6900</v>
      </c>
      <c r="AX91">
        <v>113</v>
      </c>
      <c r="AY91">
        <v>29</v>
      </c>
      <c r="AZ91">
        <v>0</v>
      </c>
      <c r="BA91">
        <v>10</v>
      </c>
      <c r="BB91">
        <v>8</v>
      </c>
      <c r="BC91">
        <v>2</v>
      </c>
      <c r="BH91" t="s">
        <v>535</v>
      </c>
      <c r="BI91" t="s">
        <v>536</v>
      </c>
      <c r="BJ91" t="s">
        <v>530</v>
      </c>
      <c r="BN91" t="s">
        <v>83</v>
      </c>
      <c r="BO91" t="s">
        <v>104</v>
      </c>
      <c r="BQ91" t="s">
        <v>531</v>
      </c>
      <c r="BR91" s="2">
        <v>46249.7112037037</v>
      </c>
    </row>
    <row r="92" spans="1:70">
      <c r="A92" t="s">
        <v>537</v>
      </c>
      <c r="B92" t="s">
        <v>71</v>
      </c>
      <c r="C92">
        <v>200</v>
      </c>
      <c r="E92" t="s">
        <v>72</v>
      </c>
      <c r="G92" t="s">
        <v>538</v>
      </c>
      <c r="H92">
        <v>44</v>
      </c>
      <c r="I92">
        <v>467</v>
      </c>
      <c r="K92">
        <v>0</v>
      </c>
      <c r="L92">
        <v>0</v>
      </c>
      <c r="N92">
        <v>0</v>
      </c>
      <c r="O92" t="s">
        <v>539</v>
      </c>
      <c r="P92">
        <v>24</v>
      </c>
      <c r="R92">
        <v>0</v>
      </c>
      <c r="S92" t="s">
        <v>540</v>
      </c>
      <c r="T92">
        <v>23</v>
      </c>
      <c r="U92" t="s">
        <v>541</v>
      </c>
      <c r="V92">
        <v>32</v>
      </c>
      <c r="W92" t="s">
        <v>77</v>
      </c>
      <c r="Z92" t="s">
        <v>537</v>
      </c>
      <c r="AF92">
        <v>161612</v>
      </c>
      <c r="AG92">
        <v>34220</v>
      </c>
      <c r="AH92">
        <v>4778306</v>
      </c>
      <c r="AI92" s="1">
        <v>1693933</v>
      </c>
      <c r="AJ92" t="s">
        <v>78</v>
      </c>
      <c r="AK92">
        <v>416</v>
      </c>
      <c r="AL92">
        <v>105</v>
      </c>
      <c r="AM92" s="1">
        <v>3962</v>
      </c>
      <c r="AN92" t="s">
        <v>79</v>
      </c>
      <c r="AO92" t="s">
        <v>80</v>
      </c>
      <c r="AP92" s="1">
        <v>2167</v>
      </c>
      <c r="AQ92">
        <v>2</v>
      </c>
      <c r="AR92">
        <v>2</v>
      </c>
      <c r="AT92">
        <v>12</v>
      </c>
      <c r="AU92">
        <v>6</v>
      </c>
      <c r="AV92">
        <v>1</v>
      </c>
      <c r="AW92" s="1">
        <v>6900</v>
      </c>
      <c r="AX92">
        <v>113</v>
      </c>
      <c r="AY92">
        <v>29</v>
      </c>
      <c r="AZ92">
        <v>0</v>
      </c>
      <c r="BA92">
        <v>10</v>
      </c>
      <c r="BB92">
        <v>8</v>
      </c>
      <c r="BC92">
        <v>2</v>
      </c>
      <c r="BH92" t="s">
        <v>542</v>
      </c>
      <c r="BI92" t="s">
        <v>401</v>
      </c>
      <c r="BJ92" t="s">
        <v>543</v>
      </c>
      <c r="BN92" t="s">
        <v>83</v>
      </c>
      <c r="BO92" t="s">
        <v>104</v>
      </c>
      <c r="BQ92" t="s">
        <v>537</v>
      </c>
      <c r="BR92" s="2">
        <v>46249.71125</v>
      </c>
    </row>
    <row r="93" spans="1:70">
      <c r="A93" t="s">
        <v>544</v>
      </c>
      <c r="B93" t="s">
        <v>71</v>
      </c>
      <c r="C93">
        <v>301</v>
      </c>
      <c r="D93" t="s">
        <v>545</v>
      </c>
      <c r="E93" t="s">
        <v>87</v>
      </c>
      <c r="F93" t="s">
        <v>389</v>
      </c>
      <c r="H93">
        <v>0</v>
      </c>
      <c r="I93">
        <v>0</v>
      </c>
      <c r="K93">
        <v>0</v>
      </c>
      <c r="L93">
        <v>0</v>
      </c>
      <c r="N93">
        <v>0</v>
      </c>
      <c r="P93">
        <v>0</v>
      </c>
      <c r="R93">
        <v>0</v>
      </c>
      <c r="T93">
        <v>0</v>
      </c>
      <c r="V93">
        <v>0</v>
      </c>
      <c r="AF93">
        <v>0</v>
      </c>
      <c r="AG93">
        <v>0</v>
      </c>
      <c r="AH93">
        <v>0</v>
      </c>
      <c r="AI93" t="s">
        <v>79</v>
      </c>
      <c r="AJ93" t="s">
        <v>89</v>
      </c>
      <c r="AK93">
        <v>0</v>
      </c>
      <c r="AP93" t="s">
        <v>79</v>
      </c>
      <c r="AQ93">
        <v>2</v>
      </c>
      <c r="AR93">
        <v>2</v>
      </c>
      <c r="AT93">
        <v>1</v>
      </c>
      <c r="AU93">
        <v>1</v>
      </c>
      <c r="AV93">
        <v>0</v>
      </c>
      <c r="AW93" s="1">
        <v>1150</v>
      </c>
      <c r="AX93">
        <v>0</v>
      </c>
      <c r="AY93">
        <v>0</v>
      </c>
      <c r="AZ93">
        <v>0</v>
      </c>
      <c r="BA93">
        <v>0</v>
      </c>
      <c r="BB93">
        <v>0</v>
      </c>
      <c r="BC93">
        <v>0</v>
      </c>
      <c r="BI93" s="1">
        <v>1893</v>
      </c>
      <c r="BJ93" t="s">
        <v>546</v>
      </c>
      <c r="BK93" t="s">
        <v>547</v>
      </c>
      <c r="BL93" t="s">
        <v>391</v>
      </c>
      <c r="BQ93" t="s">
        <v>544</v>
      </c>
      <c r="BR93" s="2">
        <v>46249.711400462962</v>
      </c>
    </row>
    <row r="94" spans="1:70">
      <c r="A94" t="s">
        <v>548</v>
      </c>
      <c r="B94" t="s">
        <v>71</v>
      </c>
      <c r="C94">
        <v>200</v>
      </c>
      <c r="E94" t="s">
        <v>72</v>
      </c>
      <c r="G94" t="s">
        <v>549</v>
      </c>
      <c r="H94">
        <v>36</v>
      </c>
      <c r="I94">
        <v>373</v>
      </c>
      <c r="K94">
        <v>0</v>
      </c>
      <c r="L94">
        <v>0</v>
      </c>
      <c r="N94">
        <v>0</v>
      </c>
      <c r="O94" t="s">
        <v>550</v>
      </c>
      <c r="P94">
        <v>21</v>
      </c>
      <c r="R94">
        <v>0</v>
      </c>
      <c r="S94" t="s">
        <v>540</v>
      </c>
      <c r="T94">
        <v>23</v>
      </c>
      <c r="U94" t="s">
        <v>551</v>
      </c>
      <c r="V94">
        <v>24</v>
      </c>
      <c r="W94" t="s">
        <v>77</v>
      </c>
      <c r="Z94" t="s">
        <v>548</v>
      </c>
      <c r="AF94">
        <v>157786</v>
      </c>
      <c r="AG94">
        <v>33843</v>
      </c>
      <c r="AH94">
        <v>4467750</v>
      </c>
      <c r="AI94" s="1">
        <v>1583840</v>
      </c>
      <c r="AJ94" t="s">
        <v>78</v>
      </c>
      <c r="AK94">
        <v>331</v>
      </c>
      <c r="AL94">
        <v>92</v>
      </c>
      <c r="AM94" s="1">
        <v>3598</v>
      </c>
      <c r="AN94" t="s">
        <v>79</v>
      </c>
      <c r="AO94" t="s">
        <v>80</v>
      </c>
      <c r="AP94" s="1">
        <v>1931</v>
      </c>
      <c r="AQ94">
        <v>2</v>
      </c>
      <c r="AR94">
        <v>2</v>
      </c>
      <c r="AT94">
        <v>12</v>
      </c>
      <c r="AU94">
        <v>6</v>
      </c>
      <c r="AV94">
        <v>1</v>
      </c>
      <c r="AW94" s="1">
        <v>6900</v>
      </c>
      <c r="AX94">
        <v>113</v>
      </c>
      <c r="AY94">
        <v>29</v>
      </c>
      <c r="AZ94">
        <v>0</v>
      </c>
      <c r="BA94">
        <v>10</v>
      </c>
      <c r="BB94">
        <v>8</v>
      </c>
      <c r="BC94">
        <v>2</v>
      </c>
      <c r="BH94" t="s">
        <v>552</v>
      </c>
      <c r="BI94" t="s">
        <v>553</v>
      </c>
      <c r="BJ94" t="s">
        <v>554</v>
      </c>
      <c r="BN94" t="s">
        <v>83</v>
      </c>
      <c r="BO94" t="s">
        <v>104</v>
      </c>
      <c r="BQ94" t="s">
        <v>548</v>
      </c>
      <c r="BR94" s="2">
        <v>46249.711354166669</v>
      </c>
    </row>
    <row r="95" spans="1:70">
      <c r="A95" t="s">
        <v>555</v>
      </c>
      <c r="B95" t="s">
        <v>71</v>
      </c>
      <c r="C95">
        <v>200</v>
      </c>
      <c r="E95" t="s">
        <v>72</v>
      </c>
      <c r="G95" t="s">
        <v>556</v>
      </c>
      <c r="H95">
        <v>38</v>
      </c>
      <c r="I95">
        <v>405</v>
      </c>
      <c r="K95">
        <v>0</v>
      </c>
      <c r="L95">
        <v>0</v>
      </c>
      <c r="N95">
        <v>0</v>
      </c>
      <c r="O95" t="s">
        <v>557</v>
      </c>
      <c r="P95">
        <v>27</v>
      </c>
      <c r="R95">
        <v>0</v>
      </c>
      <c r="S95" t="s">
        <v>540</v>
      </c>
      <c r="T95">
        <v>23</v>
      </c>
      <c r="U95" t="s">
        <v>558</v>
      </c>
      <c r="V95">
        <v>26</v>
      </c>
      <c r="W95" t="s">
        <v>77</v>
      </c>
      <c r="Z95" t="s">
        <v>555</v>
      </c>
      <c r="AF95">
        <v>158060</v>
      </c>
      <c r="AG95">
        <v>33956</v>
      </c>
      <c r="AH95">
        <v>3923171</v>
      </c>
      <c r="AI95" s="1">
        <v>1390784</v>
      </c>
      <c r="AJ95" t="s">
        <v>78</v>
      </c>
      <c r="AK95">
        <v>347</v>
      </c>
      <c r="AL95">
        <v>92</v>
      </c>
      <c r="AM95" s="1">
        <v>3772</v>
      </c>
      <c r="AN95" t="s">
        <v>79</v>
      </c>
      <c r="AO95" t="s">
        <v>80</v>
      </c>
      <c r="AP95" s="1">
        <v>1946</v>
      </c>
      <c r="AQ95">
        <v>2</v>
      </c>
      <c r="AR95">
        <v>2</v>
      </c>
      <c r="AT95">
        <v>12</v>
      </c>
      <c r="AU95">
        <v>6</v>
      </c>
      <c r="AV95">
        <v>1</v>
      </c>
      <c r="AW95" s="1">
        <v>6900</v>
      </c>
      <c r="AX95">
        <v>113</v>
      </c>
      <c r="AY95">
        <v>29</v>
      </c>
      <c r="AZ95">
        <v>0</v>
      </c>
      <c r="BA95">
        <v>10</v>
      </c>
      <c r="BB95">
        <v>8</v>
      </c>
      <c r="BC95">
        <v>2</v>
      </c>
      <c r="BH95" t="s">
        <v>559</v>
      </c>
      <c r="BI95" t="s">
        <v>560</v>
      </c>
      <c r="BJ95" t="s">
        <v>554</v>
      </c>
      <c r="BN95" t="s">
        <v>83</v>
      </c>
      <c r="BO95" t="s">
        <v>104</v>
      </c>
      <c r="BQ95" t="s">
        <v>555</v>
      </c>
      <c r="BR95" s="2">
        <v>46249.711354166669</v>
      </c>
    </row>
    <row r="96" spans="1:70">
      <c r="A96" t="s">
        <v>561</v>
      </c>
      <c r="B96" t="s">
        <v>71</v>
      </c>
      <c r="C96">
        <v>200</v>
      </c>
      <c r="E96" t="s">
        <v>72</v>
      </c>
      <c r="G96" t="s">
        <v>562</v>
      </c>
      <c r="H96">
        <v>30</v>
      </c>
      <c r="I96">
        <v>287</v>
      </c>
      <c r="K96">
        <v>0</v>
      </c>
      <c r="L96">
        <v>0</v>
      </c>
      <c r="N96">
        <v>0</v>
      </c>
      <c r="O96" t="s">
        <v>563</v>
      </c>
      <c r="P96">
        <v>47</v>
      </c>
      <c r="R96">
        <v>0</v>
      </c>
      <c r="S96" t="s">
        <v>507</v>
      </c>
      <c r="T96">
        <v>15</v>
      </c>
      <c r="U96" t="s">
        <v>564</v>
      </c>
      <c r="V96">
        <v>18</v>
      </c>
      <c r="W96" t="s">
        <v>77</v>
      </c>
      <c r="Z96" t="s">
        <v>561</v>
      </c>
      <c r="AF96">
        <v>161061</v>
      </c>
      <c r="AG96">
        <v>33899</v>
      </c>
      <c r="AH96">
        <v>4542551</v>
      </c>
      <c r="AI96" s="1">
        <v>1610357</v>
      </c>
      <c r="AJ96" t="s">
        <v>78</v>
      </c>
      <c r="AK96">
        <v>325</v>
      </c>
      <c r="AL96">
        <v>89</v>
      </c>
      <c r="AM96" s="1">
        <v>3652</v>
      </c>
      <c r="AN96" s="1">
        <v>6857</v>
      </c>
      <c r="AO96" t="s">
        <v>80</v>
      </c>
      <c r="AP96" s="1">
        <v>1835</v>
      </c>
      <c r="AQ96">
        <v>2</v>
      </c>
      <c r="AR96">
        <v>2</v>
      </c>
      <c r="AT96">
        <v>12</v>
      </c>
      <c r="AU96">
        <v>6</v>
      </c>
      <c r="AV96">
        <v>1</v>
      </c>
      <c r="AW96" s="1">
        <v>6900</v>
      </c>
      <c r="AX96">
        <v>113</v>
      </c>
      <c r="AY96">
        <v>29</v>
      </c>
      <c r="AZ96">
        <v>0</v>
      </c>
      <c r="BA96">
        <v>10</v>
      </c>
      <c r="BB96">
        <v>8</v>
      </c>
      <c r="BC96">
        <v>2</v>
      </c>
      <c r="BH96" t="s">
        <v>565</v>
      </c>
      <c r="BI96" t="s">
        <v>566</v>
      </c>
      <c r="BJ96" t="s">
        <v>543</v>
      </c>
      <c r="BN96" t="s">
        <v>83</v>
      </c>
      <c r="BO96" t="s">
        <v>104</v>
      </c>
      <c r="BQ96" t="s">
        <v>561</v>
      </c>
      <c r="BR96" s="2">
        <v>46249.71125</v>
      </c>
    </row>
    <row r="97" spans="1:70">
      <c r="A97" t="s">
        <v>567</v>
      </c>
      <c r="B97" t="s">
        <v>71</v>
      </c>
      <c r="C97">
        <v>200</v>
      </c>
      <c r="E97" t="s">
        <v>72</v>
      </c>
      <c r="G97" t="s">
        <v>568</v>
      </c>
      <c r="H97">
        <v>33</v>
      </c>
      <c r="I97">
        <v>357</v>
      </c>
      <c r="K97">
        <v>0</v>
      </c>
      <c r="L97">
        <v>0</v>
      </c>
      <c r="N97">
        <v>0</v>
      </c>
      <c r="O97" t="s">
        <v>569</v>
      </c>
      <c r="P97">
        <v>26</v>
      </c>
      <c r="R97">
        <v>0</v>
      </c>
      <c r="S97" t="s">
        <v>540</v>
      </c>
      <c r="T97">
        <v>23</v>
      </c>
      <c r="U97" t="s">
        <v>570</v>
      </c>
      <c r="V97">
        <v>21</v>
      </c>
      <c r="W97" t="s">
        <v>77</v>
      </c>
      <c r="Z97" t="s">
        <v>567</v>
      </c>
      <c r="AF97">
        <v>161342</v>
      </c>
      <c r="AG97">
        <v>34272</v>
      </c>
      <c r="AH97">
        <v>3830653</v>
      </c>
      <c r="AI97" s="1">
        <v>1357986</v>
      </c>
      <c r="AJ97" t="s">
        <v>78</v>
      </c>
      <c r="AK97">
        <v>418</v>
      </c>
      <c r="AL97">
        <v>108</v>
      </c>
      <c r="AM97" s="1">
        <v>3870</v>
      </c>
      <c r="AN97" t="s">
        <v>79</v>
      </c>
      <c r="AO97" t="s">
        <v>80</v>
      </c>
      <c r="AP97" s="1">
        <v>2175</v>
      </c>
      <c r="AQ97">
        <v>2</v>
      </c>
      <c r="AR97">
        <v>2</v>
      </c>
      <c r="AT97">
        <v>12</v>
      </c>
      <c r="AU97">
        <v>6</v>
      </c>
      <c r="AV97">
        <v>1</v>
      </c>
      <c r="AW97" s="1">
        <v>6900</v>
      </c>
      <c r="AX97">
        <v>113</v>
      </c>
      <c r="AY97">
        <v>29</v>
      </c>
      <c r="AZ97">
        <v>0</v>
      </c>
      <c r="BA97">
        <v>10</v>
      </c>
      <c r="BB97">
        <v>8</v>
      </c>
      <c r="BC97">
        <v>2</v>
      </c>
      <c r="BH97" t="s">
        <v>571</v>
      </c>
      <c r="BI97" s="1">
        <v>2650</v>
      </c>
      <c r="BJ97" t="s">
        <v>572</v>
      </c>
      <c r="BN97" t="s">
        <v>83</v>
      </c>
      <c r="BO97" t="s">
        <v>104</v>
      </c>
      <c r="BQ97" t="s">
        <v>567</v>
      </c>
      <c r="BR97" s="2">
        <v>46249.711342592593</v>
      </c>
    </row>
    <row r="98" spans="1:70">
      <c r="A98" t="s">
        <v>573</v>
      </c>
      <c r="B98" t="s">
        <v>71</v>
      </c>
      <c r="C98">
        <v>200</v>
      </c>
      <c r="E98" t="s">
        <v>72</v>
      </c>
      <c r="G98" t="s">
        <v>574</v>
      </c>
      <c r="H98">
        <v>31</v>
      </c>
      <c r="I98">
        <v>308</v>
      </c>
      <c r="K98">
        <v>0</v>
      </c>
      <c r="L98">
        <v>0</v>
      </c>
      <c r="N98">
        <v>0</v>
      </c>
      <c r="O98" t="s">
        <v>575</v>
      </c>
      <c r="P98">
        <v>45</v>
      </c>
      <c r="R98">
        <v>0</v>
      </c>
      <c r="S98" t="s">
        <v>507</v>
      </c>
      <c r="T98">
        <v>15</v>
      </c>
      <c r="U98" t="s">
        <v>576</v>
      </c>
      <c r="V98">
        <v>19</v>
      </c>
      <c r="W98" t="s">
        <v>77</v>
      </c>
      <c r="Z98" t="s">
        <v>573</v>
      </c>
      <c r="AF98">
        <v>162190</v>
      </c>
      <c r="AG98">
        <v>33688</v>
      </c>
      <c r="AH98">
        <v>3660679</v>
      </c>
      <c r="AI98" s="1">
        <v>1297729</v>
      </c>
      <c r="AJ98" t="s">
        <v>78</v>
      </c>
      <c r="AK98">
        <v>436</v>
      </c>
      <c r="AL98">
        <v>111</v>
      </c>
      <c r="AM98" s="1">
        <v>3928</v>
      </c>
      <c r="AN98" t="s">
        <v>79</v>
      </c>
      <c r="AO98" t="s">
        <v>80</v>
      </c>
      <c r="AP98" s="1">
        <v>2176</v>
      </c>
      <c r="AQ98">
        <v>2</v>
      </c>
      <c r="AR98">
        <v>2</v>
      </c>
      <c r="AT98">
        <v>12</v>
      </c>
      <c r="AU98">
        <v>6</v>
      </c>
      <c r="AV98">
        <v>1</v>
      </c>
      <c r="AW98" s="1">
        <v>6900</v>
      </c>
      <c r="AX98">
        <v>113</v>
      </c>
      <c r="AY98">
        <v>29</v>
      </c>
      <c r="AZ98">
        <v>0</v>
      </c>
      <c r="BA98">
        <v>10</v>
      </c>
      <c r="BB98">
        <v>8</v>
      </c>
      <c r="BC98">
        <v>2</v>
      </c>
      <c r="BH98" t="s">
        <v>577</v>
      </c>
      <c r="BI98" t="s">
        <v>523</v>
      </c>
      <c r="BJ98" t="s">
        <v>578</v>
      </c>
      <c r="BN98" t="s">
        <v>83</v>
      </c>
      <c r="BO98" t="s">
        <v>84</v>
      </c>
      <c r="BQ98" t="s">
        <v>573</v>
      </c>
      <c r="BR98" s="2">
        <v>46249.711423611108</v>
      </c>
    </row>
    <row r="99" spans="1:70">
      <c r="A99" t="s">
        <v>579</v>
      </c>
      <c r="B99" t="s">
        <v>71</v>
      </c>
      <c r="C99">
        <v>200</v>
      </c>
      <c r="E99" t="s">
        <v>72</v>
      </c>
      <c r="G99" t="s">
        <v>580</v>
      </c>
      <c r="H99">
        <v>33</v>
      </c>
      <c r="I99">
        <v>323</v>
      </c>
      <c r="K99">
        <v>0</v>
      </c>
      <c r="L99">
        <v>0</v>
      </c>
      <c r="N99">
        <v>0</v>
      </c>
      <c r="O99" t="s">
        <v>581</v>
      </c>
      <c r="P99">
        <v>30</v>
      </c>
      <c r="R99">
        <v>0</v>
      </c>
      <c r="S99" t="s">
        <v>507</v>
      </c>
      <c r="T99">
        <v>15</v>
      </c>
      <c r="U99" t="s">
        <v>582</v>
      </c>
      <c r="V99">
        <v>21</v>
      </c>
      <c r="W99" t="s">
        <v>77</v>
      </c>
      <c r="Z99" t="s">
        <v>579</v>
      </c>
      <c r="AF99">
        <v>160631</v>
      </c>
      <c r="AG99">
        <v>34562</v>
      </c>
      <c r="AH99">
        <v>3393540</v>
      </c>
      <c r="AI99" s="1">
        <v>1203027</v>
      </c>
      <c r="AJ99" t="s">
        <v>78</v>
      </c>
      <c r="AK99">
        <v>560</v>
      </c>
      <c r="AL99">
        <v>141</v>
      </c>
      <c r="AM99" s="1">
        <v>3972</v>
      </c>
      <c r="AN99" s="1">
        <v>1123</v>
      </c>
      <c r="AO99" t="s">
        <v>80</v>
      </c>
      <c r="AP99" s="1">
        <v>2569</v>
      </c>
      <c r="AQ99">
        <v>2</v>
      </c>
      <c r="AR99">
        <v>2</v>
      </c>
      <c r="AT99">
        <v>12</v>
      </c>
      <c r="AU99">
        <v>6</v>
      </c>
      <c r="AV99">
        <v>1</v>
      </c>
      <c r="AW99" s="1">
        <v>6900</v>
      </c>
      <c r="AX99">
        <v>113</v>
      </c>
      <c r="AY99">
        <v>29</v>
      </c>
      <c r="AZ99">
        <v>0</v>
      </c>
      <c r="BA99">
        <v>10</v>
      </c>
      <c r="BB99">
        <v>8</v>
      </c>
      <c r="BC99">
        <v>2</v>
      </c>
      <c r="BH99" t="s">
        <v>583</v>
      </c>
      <c r="BI99" t="s">
        <v>584</v>
      </c>
      <c r="BJ99" t="s">
        <v>585</v>
      </c>
      <c r="BN99" t="s">
        <v>83</v>
      </c>
      <c r="BO99" t="s">
        <v>104</v>
      </c>
      <c r="BQ99" t="s">
        <v>579</v>
      </c>
      <c r="BR99" s="2">
        <v>46249.711493055554</v>
      </c>
    </row>
    <row r="100" spans="1:70">
      <c r="A100" t="s">
        <v>586</v>
      </c>
      <c r="B100" t="s">
        <v>71</v>
      </c>
      <c r="C100">
        <v>200</v>
      </c>
      <c r="E100" t="s">
        <v>72</v>
      </c>
      <c r="G100" t="s">
        <v>587</v>
      </c>
      <c r="H100">
        <v>24</v>
      </c>
      <c r="I100">
        <v>246</v>
      </c>
      <c r="K100">
        <v>0</v>
      </c>
      <c r="L100">
        <v>0</v>
      </c>
      <c r="N100">
        <v>0</v>
      </c>
      <c r="O100" t="s">
        <v>588</v>
      </c>
      <c r="P100">
        <v>23</v>
      </c>
      <c r="R100">
        <v>0</v>
      </c>
      <c r="S100" t="s">
        <v>540</v>
      </c>
      <c r="T100">
        <v>23</v>
      </c>
      <c r="U100" t="s">
        <v>589</v>
      </c>
      <c r="V100">
        <v>12</v>
      </c>
      <c r="W100" t="s">
        <v>77</v>
      </c>
      <c r="Z100" t="s">
        <v>586</v>
      </c>
      <c r="AF100">
        <v>158956</v>
      </c>
      <c r="AG100">
        <v>33929</v>
      </c>
      <c r="AH100">
        <v>3783723</v>
      </c>
      <c r="AI100" s="1">
        <v>1341349</v>
      </c>
      <c r="AJ100" t="s">
        <v>78</v>
      </c>
      <c r="AK100">
        <v>370</v>
      </c>
      <c r="AL100">
        <v>95</v>
      </c>
      <c r="AM100" s="1">
        <v>3895</v>
      </c>
      <c r="AN100" t="s">
        <v>79</v>
      </c>
      <c r="AO100" t="s">
        <v>80</v>
      </c>
      <c r="AP100" s="1">
        <v>2002</v>
      </c>
      <c r="AQ100">
        <v>2</v>
      </c>
      <c r="AR100">
        <v>2</v>
      </c>
      <c r="AT100">
        <v>12</v>
      </c>
      <c r="AU100">
        <v>6</v>
      </c>
      <c r="AV100">
        <v>1</v>
      </c>
      <c r="AW100" s="1">
        <v>6900</v>
      </c>
      <c r="AX100">
        <v>113</v>
      </c>
      <c r="AY100">
        <v>29</v>
      </c>
      <c r="AZ100">
        <v>0</v>
      </c>
      <c r="BA100">
        <v>10</v>
      </c>
      <c r="BB100">
        <v>8</v>
      </c>
      <c r="BC100">
        <v>2</v>
      </c>
      <c r="BH100" t="s">
        <v>590</v>
      </c>
      <c r="BI100" t="s">
        <v>591</v>
      </c>
      <c r="BJ100" t="s">
        <v>592</v>
      </c>
      <c r="BN100" t="s">
        <v>83</v>
      </c>
      <c r="BO100" t="s">
        <v>104</v>
      </c>
      <c r="BQ100" t="s">
        <v>586</v>
      </c>
      <c r="BR100" s="2">
        <v>46249.711504629631</v>
      </c>
    </row>
    <row r="101" spans="1:70">
      <c r="A101" t="s">
        <v>593</v>
      </c>
      <c r="B101" t="s">
        <v>71</v>
      </c>
      <c r="C101">
        <v>200</v>
      </c>
      <c r="E101" t="s">
        <v>72</v>
      </c>
      <c r="G101" t="s">
        <v>594</v>
      </c>
      <c r="H101">
        <v>24</v>
      </c>
      <c r="I101">
        <v>262</v>
      </c>
      <c r="K101">
        <v>0</v>
      </c>
      <c r="L101">
        <v>0</v>
      </c>
      <c r="N101">
        <v>0</v>
      </c>
      <c r="O101" t="s">
        <v>595</v>
      </c>
      <c r="P101">
        <v>28</v>
      </c>
      <c r="R101">
        <v>0</v>
      </c>
      <c r="S101" t="s">
        <v>540</v>
      </c>
      <c r="T101">
        <v>23</v>
      </c>
      <c r="U101" t="s">
        <v>596</v>
      </c>
      <c r="V101">
        <v>31</v>
      </c>
      <c r="W101" t="s">
        <v>77</v>
      </c>
      <c r="Z101" t="s">
        <v>593</v>
      </c>
      <c r="AF101">
        <v>162481</v>
      </c>
      <c r="AG101">
        <v>34320</v>
      </c>
      <c r="AH101">
        <v>3942934</v>
      </c>
      <c r="AI101" s="1">
        <v>1397790</v>
      </c>
      <c r="AJ101" t="s">
        <v>78</v>
      </c>
      <c r="AK101">
        <v>469</v>
      </c>
      <c r="AL101">
        <v>131</v>
      </c>
      <c r="AM101" s="1">
        <v>3580</v>
      </c>
      <c r="AN101" s="1">
        <v>7485</v>
      </c>
      <c r="AO101" t="s">
        <v>80</v>
      </c>
      <c r="AP101" s="1">
        <v>2229</v>
      </c>
      <c r="AQ101">
        <v>2</v>
      </c>
      <c r="AR101">
        <v>2</v>
      </c>
      <c r="AT101">
        <v>10</v>
      </c>
      <c r="AU101">
        <v>5</v>
      </c>
      <c r="AV101">
        <v>1</v>
      </c>
      <c r="AW101" s="1">
        <v>5750</v>
      </c>
      <c r="AX101">
        <v>113</v>
      </c>
      <c r="AY101">
        <v>29</v>
      </c>
      <c r="AZ101">
        <v>0</v>
      </c>
      <c r="BA101">
        <v>10</v>
      </c>
      <c r="BB101">
        <v>8</v>
      </c>
      <c r="BC101">
        <v>2</v>
      </c>
      <c r="BH101" t="s">
        <v>597</v>
      </c>
      <c r="BI101" t="s">
        <v>591</v>
      </c>
      <c r="BJ101" t="s">
        <v>592</v>
      </c>
      <c r="BN101" t="s">
        <v>83</v>
      </c>
      <c r="BO101" t="s">
        <v>104</v>
      </c>
      <c r="BQ101" t="s">
        <v>593</v>
      </c>
      <c r="BR101" s="2">
        <v>46249.711504629631</v>
      </c>
    </row>
    <row r="102" spans="1:70">
      <c r="A102" t="s">
        <v>598</v>
      </c>
      <c r="B102" t="s">
        <v>71</v>
      </c>
      <c r="C102">
        <v>200</v>
      </c>
      <c r="E102" t="s">
        <v>72</v>
      </c>
      <c r="G102" t="s">
        <v>599</v>
      </c>
      <c r="H102">
        <v>45</v>
      </c>
      <c r="I102">
        <v>430</v>
      </c>
      <c r="K102">
        <v>0</v>
      </c>
      <c r="L102">
        <v>0</v>
      </c>
      <c r="N102">
        <v>0</v>
      </c>
      <c r="O102" t="s">
        <v>600</v>
      </c>
      <c r="P102">
        <v>38</v>
      </c>
      <c r="R102">
        <v>0</v>
      </c>
      <c r="S102" t="s">
        <v>601</v>
      </c>
      <c r="T102">
        <v>33</v>
      </c>
      <c r="U102" t="s">
        <v>602</v>
      </c>
      <c r="V102">
        <v>33</v>
      </c>
      <c r="W102" t="s">
        <v>77</v>
      </c>
      <c r="Z102" t="s">
        <v>598</v>
      </c>
      <c r="AF102">
        <v>157340</v>
      </c>
      <c r="AG102">
        <v>33828</v>
      </c>
      <c r="AH102">
        <v>3408946</v>
      </c>
      <c r="AI102" s="1">
        <v>1208488</v>
      </c>
      <c r="AJ102" t="s">
        <v>78</v>
      </c>
      <c r="AK102">
        <v>469</v>
      </c>
      <c r="AL102">
        <v>94</v>
      </c>
      <c r="AM102" s="1">
        <v>4989</v>
      </c>
      <c r="AN102" s="1">
        <v>25175</v>
      </c>
      <c r="AO102" t="s">
        <v>80</v>
      </c>
      <c r="AP102" s="1">
        <v>2168</v>
      </c>
      <c r="AQ102">
        <v>2</v>
      </c>
      <c r="AR102">
        <v>2</v>
      </c>
      <c r="AT102">
        <v>12</v>
      </c>
      <c r="AU102">
        <v>6</v>
      </c>
      <c r="AV102">
        <v>1</v>
      </c>
      <c r="AW102" s="1">
        <v>6900</v>
      </c>
      <c r="AX102">
        <v>113</v>
      </c>
      <c r="AY102">
        <v>29</v>
      </c>
      <c r="AZ102">
        <v>0</v>
      </c>
      <c r="BA102">
        <v>10</v>
      </c>
      <c r="BB102">
        <v>8</v>
      </c>
      <c r="BC102">
        <v>2</v>
      </c>
      <c r="BH102" t="s">
        <v>603</v>
      </c>
      <c r="BI102" t="s">
        <v>604</v>
      </c>
      <c r="BJ102" t="s">
        <v>592</v>
      </c>
      <c r="BN102" t="s">
        <v>83</v>
      </c>
      <c r="BO102" t="s">
        <v>104</v>
      </c>
      <c r="BQ102" t="s">
        <v>598</v>
      </c>
      <c r="BR102" s="2">
        <v>46249.711516203701</v>
      </c>
    </row>
    <row r="103" spans="1:70">
      <c r="A103" t="s">
        <v>605</v>
      </c>
      <c r="B103" t="s">
        <v>71</v>
      </c>
      <c r="C103">
        <v>200</v>
      </c>
      <c r="E103" t="s">
        <v>72</v>
      </c>
      <c r="G103" t="s">
        <v>606</v>
      </c>
      <c r="H103">
        <v>34</v>
      </c>
      <c r="I103">
        <v>369</v>
      </c>
      <c r="K103">
        <v>0</v>
      </c>
      <c r="L103">
        <v>0</v>
      </c>
      <c r="N103">
        <v>0</v>
      </c>
      <c r="O103" t="s">
        <v>607</v>
      </c>
      <c r="P103">
        <v>28</v>
      </c>
      <c r="R103">
        <v>0</v>
      </c>
      <c r="S103" t="s">
        <v>540</v>
      </c>
      <c r="T103">
        <v>23</v>
      </c>
      <c r="U103" t="s">
        <v>608</v>
      </c>
      <c r="V103">
        <v>22</v>
      </c>
      <c r="W103" t="s">
        <v>77</v>
      </c>
      <c r="Z103" t="s">
        <v>605</v>
      </c>
      <c r="AF103">
        <v>161719</v>
      </c>
      <c r="AG103">
        <v>34250</v>
      </c>
      <c r="AH103">
        <v>3721498</v>
      </c>
      <c r="AI103" s="1">
        <v>1319290</v>
      </c>
      <c r="AJ103" t="s">
        <v>78</v>
      </c>
      <c r="AK103">
        <v>415</v>
      </c>
      <c r="AL103">
        <v>105</v>
      </c>
      <c r="AM103" s="1">
        <v>3952</v>
      </c>
      <c r="AN103" t="s">
        <v>79</v>
      </c>
      <c r="AO103" t="s">
        <v>80</v>
      </c>
      <c r="AP103" s="1">
        <v>2134</v>
      </c>
      <c r="AQ103">
        <v>2</v>
      </c>
      <c r="AR103">
        <v>2</v>
      </c>
      <c r="AT103">
        <v>12</v>
      </c>
      <c r="AU103">
        <v>6</v>
      </c>
      <c r="AV103">
        <v>1</v>
      </c>
      <c r="AW103" s="1">
        <v>6900</v>
      </c>
      <c r="AX103">
        <v>113</v>
      </c>
      <c r="AY103">
        <v>29</v>
      </c>
      <c r="AZ103">
        <v>0</v>
      </c>
      <c r="BA103">
        <v>10</v>
      </c>
      <c r="BB103">
        <v>8</v>
      </c>
      <c r="BC103">
        <v>2</v>
      </c>
      <c r="BH103" t="s">
        <v>609</v>
      </c>
      <c r="BI103" s="1">
        <v>2541</v>
      </c>
      <c r="BJ103" t="s">
        <v>610</v>
      </c>
      <c r="BN103" t="s">
        <v>83</v>
      </c>
      <c r="BO103" t="s">
        <v>104</v>
      </c>
      <c r="BQ103" t="s">
        <v>605</v>
      </c>
      <c r="BR103" s="2">
        <v>46249.711550925924</v>
      </c>
    </row>
    <row r="104" spans="1:70">
      <c r="A104" t="s">
        <v>611</v>
      </c>
      <c r="B104" t="s">
        <v>71</v>
      </c>
      <c r="C104">
        <v>200</v>
      </c>
      <c r="E104" t="s">
        <v>72</v>
      </c>
      <c r="G104" t="s">
        <v>612</v>
      </c>
      <c r="H104">
        <v>47</v>
      </c>
      <c r="I104">
        <v>463</v>
      </c>
      <c r="K104">
        <v>0</v>
      </c>
      <c r="L104">
        <v>0</v>
      </c>
      <c r="N104">
        <v>0</v>
      </c>
      <c r="O104" t="s">
        <v>613</v>
      </c>
      <c r="P104">
        <v>69</v>
      </c>
      <c r="R104">
        <v>0</v>
      </c>
      <c r="S104" t="s">
        <v>601</v>
      </c>
      <c r="T104">
        <v>33</v>
      </c>
      <c r="U104" t="s">
        <v>614</v>
      </c>
      <c r="V104">
        <v>33</v>
      </c>
      <c r="W104" t="s">
        <v>77</v>
      </c>
      <c r="Z104" t="s">
        <v>611</v>
      </c>
      <c r="AF104">
        <v>162706</v>
      </c>
      <c r="AG104">
        <v>35007</v>
      </c>
      <c r="AH104">
        <v>3731765</v>
      </c>
      <c r="AI104" s="1">
        <v>1322929</v>
      </c>
      <c r="AJ104" t="s">
        <v>78</v>
      </c>
      <c r="AK104">
        <v>725</v>
      </c>
      <c r="AL104">
        <v>148</v>
      </c>
      <c r="AM104" s="1">
        <v>4899</v>
      </c>
      <c r="AN104" t="s">
        <v>79</v>
      </c>
      <c r="AO104" t="s">
        <v>80</v>
      </c>
      <c r="AP104" s="1">
        <v>3324</v>
      </c>
      <c r="AQ104">
        <v>2</v>
      </c>
      <c r="AR104">
        <v>2</v>
      </c>
      <c r="AT104">
        <v>10</v>
      </c>
      <c r="AU104">
        <v>5</v>
      </c>
      <c r="AV104">
        <v>1</v>
      </c>
      <c r="AW104" s="1">
        <v>5750</v>
      </c>
      <c r="AX104">
        <v>113</v>
      </c>
      <c r="AY104">
        <v>29</v>
      </c>
      <c r="AZ104">
        <v>0</v>
      </c>
      <c r="BA104">
        <v>10</v>
      </c>
      <c r="BB104">
        <v>8</v>
      </c>
      <c r="BC104">
        <v>2</v>
      </c>
      <c r="BH104" t="s">
        <v>615</v>
      </c>
      <c r="BI104" t="s">
        <v>134</v>
      </c>
      <c r="BJ104" t="s">
        <v>616</v>
      </c>
      <c r="BN104" t="s">
        <v>83</v>
      </c>
      <c r="BO104" t="s">
        <v>104</v>
      </c>
      <c r="BQ104" t="s">
        <v>611</v>
      </c>
      <c r="BR104" s="2">
        <v>46249.711631944447</v>
      </c>
    </row>
    <row r="105" spans="1:70">
      <c r="A105" t="s">
        <v>617</v>
      </c>
      <c r="B105" t="s">
        <v>71</v>
      </c>
      <c r="C105">
        <v>200</v>
      </c>
      <c r="E105" t="s">
        <v>72</v>
      </c>
      <c r="G105" t="s">
        <v>618</v>
      </c>
      <c r="H105">
        <v>29</v>
      </c>
      <c r="I105">
        <v>290</v>
      </c>
      <c r="K105">
        <v>0</v>
      </c>
      <c r="L105">
        <v>0</v>
      </c>
      <c r="N105">
        <v>0</v>
      </c>
      <c r="O105" t="s">
        <v>619</v>
      </c>
      <c r="P105">
        <v>43</v>
      </c>
      <c r="R105">
        <v>0</v>
      </c>
      <c r="S105" t="s">
        <v>520</v>
      </c>
      <c r="T105">
        <v>20</v>
      </c>
      <c r="U105" t="s">
        <v>620</v>
      </c>
      <c r="V105">
        <v>17</v>
      </c>
      <c r="W105" t="s">
        <v>77</v>
      </c>
      <c r="Z105" t="s">
        <v>617</v>
      </c>
      <c r="AF105">
        <v>158449</v>
      </c>
      <c r="AG105">
        <v>34434</v>
      </c>
      <c r="AH105">
        <v>3807861</v>
      </c>
      <c r="AI105" s="1">
        <v>1349906</v>
      </c>
      <c r="AJ105" t="s">
        <v>78</v>
      </c>
      <c r="AK105">
        <v>516</v>
      </c>
      <c r="AL105">
        <v>103</v>
      </c>
      <c r="AM105" s="1">
        <v>5010</v>
      </c>
      <c r="AN105" s="1">
        <v>7137</v>
      </c>
      <c r="AO105" t="s">
        <v>80</v>
      </c>
      <c r="AP105" s="1">
        <v>2435</v>
      </c>
      <c r="AQ105">
        <v>2</v>
      </c>
      <c r="AR105">
        <v>2</v>
      </c>
      <c r="AT105">
        <v>12</v>
      </c>
      <c r="AU105">
        <v>6</v>
      </c>
      <c r="AV105">
        <v>1</v>
      </c>
      <c r="AW105" s="1">
        <v>6900</v>
      </c>
      <c r="AX105">
        <v>113</v>
      </c>
      <c r="AY105">
        <v>29</v>
      </c>
      <c r="AZ105">
        <v>0</v>
      </c>
      <c r="BA105">
        <v>10</v>
      </c>
      <c r="BB105">
        <v>8</v>
      </c>
      <c r="BC105">
        <v>2</v>
      </c>
      <c r="BH105" t="s">
        <v>621</v>
      </c>
      <c r="BI105" t="s">
        <v>267</v>
      </c>
      <c r="BJ105" t="s">
        <v>622</v>
      </c>
      <c r="BN105" t="s">
        <v>83</v>
      </c>
      <c r="BO105" t="s">
        <v>104</v>
      </c>
      <c r="BQ105" t="s">
        <v>617</v>
      </c>
      <c r="BR105" s="2">
        <v>46249.711655092593</v>
      </c>
    </row>
    <row r="106" spans="1:70">
      <c r="A106" t="s">
        <v>623</v>
      </c>
      <c r="B106" t="s">
        <v>71</v>
      </c>
      <c r="C106">
        <v>200</v>
      </c>
      <c r="E106" t="s">
        <v>72</v>
      </c>
      <c r="G106" t="s">
        <v>624</v>
      </c>
      <c r="H106">
        <v>48</v>
      </c>
      <c r="I106">
        <v>456</v>
      </c>
      <c r="K106">
        <v>0</v>
      </c>
      <c r="L106">
        <v>0</v>
      </c>
      <c r="N106">
        <v>0</v>
      </c>
      <c r="O106" t="s">
        <v>625</v>
      </c>
      <c r="P106">
        <v>18</v>
      </c>
      <c r="R106">
        <v>0</v>
      </c>
      <c r="S106" t="s">
        <v>540</v>
      </c>
      <c r="T106">
        <v>23</v>
      </c>
      <c r="U106" t="s">
        <v>626</v>
      </c>
      <c r="V106">
        <v>21</v>
      </c>
      <c r="W106" t="s">
        <v>77</v>
      </c>
      <c r="Z106" t="s">
        <v>623</v>
      </c>
      <c r="AF106">
        <v>161494</v>
      </c>
      <c r="AG106">
        <v>34011</v>
      </c>
      <c r="AH106">
        <v>4181933</v>
      </c>
      <c r="AI106" s="1">
        <v>1482516</v>
      </c>
      <c r="AJ106" t="s">
        <v>78</v>
      </c>
      <c r="AK106">
        <v>326</v>
      </c>
      <c r="AL106">
        <v>93</v>
      </c>
      <c r="AM106" s="1">
        <v>3505</v>
      </c>
      <c r="AN106" s="1">
        <v>9164</v>
      </c>
      <c r="AO106" t="s">
        <v>80</v>
      </c>
      <c r="AP106" s="1">
        <v>1807</v>
      </c>
      <c r="AQ106">
        <v>2</v>
      </c>
      <c r="AR106">
        <v>2</v>
      </c>
      <c r="AT106">
        <v>10</v>
      </c>
      <c r="AU106">
        <v>5</v>
      </c>
      <c r="AV106">
        <v>1</v>
      </c>
      <c r="AW106" s="1">
        <v>5750</v>
      </c>
      <c r="AX106">
        <v>113</v>
      </c>
      <c r="AY106">
        <v>29</v>
      </c>
      <c r="AZ106">
        <v>0</v>
      </c>
      <c r="BA106">
        <v>10</v>
      </c>
      <c r="BB106">
        <v>8</v>
      </c>
      <c r="BC106">
        <v>2</v>
      </c>
      <c r="BH106" t="s">
        <v>627</v>
      </c>
      <c r="BI106" s="1">
        <v>2976</v>
      </c>
      <c r="BJ106" t="s">
        <v>628</v>
      </c>
      <c r="BN106" t="s">
        <v>83</v>
      </c>
      <c r="BO106" t="s">
        <v>104</v>
      </c>
      <c r="BQ106" t="s">
        <v>623</v>
      </c>
      <c r="BR106" s="2">
        <v>46249.711643518516</v>
      </c>
    </row>
    <row r="107" spans="1:70">
      <c r="A107" t="s">
        <v>629</v>
      </c>
      <c r="B107" t="s">
        <v>71</v>
      </c>
      <c r="C107">
        <v>200</v>
      </c>
      <c r="E107" t="s">
        <v>72</v>
      </c>
      <c r="G107" t="s">
        <v>630</v>
      </c>
      <c r="H107">
        <v>29</v>
      </c>
      <c r="I107">
        <v>281</v>
      </c>
      <c r="K107">
        <v>0</v>
      </c>
      <c r="L107">
        <v>0</v>
      </c>
      <c r="N107">
        <v>0</v>
      </c>
      <c r="O107" t="s">
        <v>631</v>
      </c>
      <c r="P107">
        <v>43</v>
      </c>
      <c r="R107">
        <v>0</v>
      </c>
      <c r="S107" t="s">
        <v>507</v>
      </c>
      <c r="T107">
        <v>15</v>
      </c>
      <c r="U107" t="s">
        <v>632</v>
      </c>
      <c r="V107">
        <v>17</v>
      </c>
      <c r="W107" t="s">
        <v>77</v>
      </c>
      <c r="Z107" t="s">
        <v>629</v>
      </c>
      <c r="AF107">
        <v>206482</v>
      </c>
      <c r="AG107">
        <v>37733</v>
      </c>
      <c r="AH107">
        <v>3388553</v>
      </c>
      <c r="AI107" s="1">
        <v>1201259</v>
      </c>
      <c r="AJ107" t="s">
        <v>78</v>
      </c>
      <c r="AK107">
        <v>875</v>
      </c>
      <c r="AL107">
        <v>179</v>
      </c>
      <c r="AM107" s="1">
        <v>4888</v>
      </c>
      <c r="AN107" t="s">
        <v>79</v>
      </c>
      <c r="AO107" t="s">
        <v>80</v>
      </c>
      <c r="AP107" s="1">
        <v>2999</v>
      </c>
      <c r="AQ107">
        <v>2</v>
      </c>
      <c r="AR107">
        <v>2</v>
      </c>
      <c r="AT107">
        <v>12</v>
      </c>
      <c r="AU107">
        <v>6</v>
      </c>
      <c r="AV107">
        <v>1</v>
      </c>
      <c r="AW107" s="1">
        <v>6900</v>
      </c>
      <c r="AX107">
        <v>117</v>
      </c>
      <c r="AY107">
        <v>29</v>
      </c>
      <c r="AZ107">
        <v>0</v>
      </c>
      <c r="BA107">
        <v>12</v>
      </c>
      <c r="BB107">
        <v>8</v>
      </c>
      <c r="BC107">
        <v>2</v>
      </c>
      <c r="BH107" t="s">
        <v>633</v>
      </c>
      <c r="BI107" s="1">
        <v>2911</v>
      </c>
      <c r="BJ107" t="s">
        <v>634</v>
      </c>
      <c r="BN107" t="s">
        <v>83</v>
      </c>
      <c r="BO107" t="s">
        <v>104</v>
      </c>
      <c r="BQ107" t="s">
        <v>629</v>
      </c>
      <c r="BR107" s="2">
        <v>46249.711655092593</v>
      </c>
    </row>
    <row r="108" spans="1:70">
      <c r="A108" t="s">
        <v>635</v>
      </c>
      <c r="B108" t="s">
        <v>207</v>
      </c>
      <c r="C108">
        <v>200</v>
      </c>
      <c r="E108" t="s">
        <v>72</v>
      </c>
      <c r="G108" t="s">
        <v>208</v>
      </c>
      <c r="H108">
        <v>27</v>
      </c>
      <c r="I108">
        <v>262</v>
      </c>
      <c r="K108">
        <v>0</v>
      </c>
      <c r="L108">
        <v>0</v>
      </c>
      <c r="N108">
        <v>0</v>
      </c>
      <c r="O108" t="s">
        <v>636</v>
      </c>
      <c r="P108">
        <v>13</v>
      </c>
      <c r="R108">
        <v>0</v>
      </c>
      <c r="T108">
        <v>0</v>
      </c>
      <c r="V108">
        <v>0</v>
      </c>
      <c r="AF108">
        <v>17745</v>
      </c>
      <c r="AG108">
        <v>5697</v>
      </c>
      <c r="AH108">
        <v>962288</v>
      </c>
      <c r="AI108" s="1">
        <v>341136</v>
      </c>
      <c r="AJ108" t="s">
        <v>210</v>
      </c>
      <c r="AK108">
        <v>15</v>
      </c>
      <c r="AL108">
        <v>8</v>
      </c>
      <c r="AM108" s="1">
        <v>1875</v>
      </c>
      <c r="AN108" s="1">
        <v>52652</v>
      </c>
      <c r="AO108" t="s">
        <v>637</v>
      </c>
      <c r="AP108" s="1">
        <v>1948</v>
      </c>
      <c r="AQ108">
        <v>2</v>
      </c>
      <c r="AR108">
        <v>0</v>
      </c>
      <c r="AT108">
        <v>13</v>
      </c>
      <c r="AU108">
        <v>11</v>
      </c>
      <c r="AV108">
        <v>2</v>
      </c>
      <c r="AW108" s="1">
        <v>12640</v>
      </c>
      <c r="AX108">
        <v>7</v>
      </c>
      <c r="AY108">
        <v>5</v>
      </c>
      <c r="AZ108">
        <v>0</v>
      </c>
      <c r="BA108">
        <v>2</v>
      </c>
      <c r="BB108">
        <v>2</v>
      </c>
      <c r="BC108">
        <v>0</v>
      </c>
      <c r="BH108" t="s">
        <v>638</v>
      </c>
      <c r="BI108" t="s">
        <v>639</v>
      </c>
      <c r="BN108" t="s">
        <v>214</v>
      </c>
      <c r="BO108" t="s">
        <v>84</v>
      </c>
      <c r="BQ108" t="s">
        <v>635</v>
      </c>
      <c r="BR108" s="2">
        <v>46249.711770833332</v>
      </c>
    </row>
    <row r="109" spans="1:70">
      <c r="A109" t="s">
        <v>640</v>
      </c>
      <c r="B109" t="s">
        <v>71</v>
      </c>
      <c r="C109">
        <v>404</v>
      </c>
      <c r="E109" t="s">
        <v>87</v>
      </c>
      <c r="F109" t="s">
        <v>88</v>
      </c>
      <c r="H109">
        <v>0</v>
      </c>
      <c r="I109">
        <v>0</v>
      </c>
      <c r="K109">
        <v>0</v>
      </c>
      <c r="L109">
        <v>0</v>
      </c>
      <c r="N109">
        <v>0</v>
      </c>
      <c r="P109">
        <v>0</v>
      </c>
      <c r="R109">
        <v>0</v>
      </c>
      <c r="T109">
        <v>0</v>
      </c>
      <c r="V109">
        <v>0</v>
      </c>
      <c r="AF109">
        <v>120616</v>
      </c>
      <c r="AG109">
        <v>28672</v>
      </c>
      <c r="AH109">
        <v>898355</v>
      </c>
      <c r="AI109" s="1">
        <v>318471</v>
      </c>
      <c r="AJ109" t="s">
        <v>94</v>
      </c>
      <c r="AK109">
        <v>0</v>
      </c>
      <c r="AP109" t="s">
        <v>79</v>
      </c>
      <c r="AQ109">
        <v>2</v>
      </c>
      <c r="AR109">
        <v>1</v>
      </c>
      <c r="AT109">
        <v>1</v>
      </c>
      <c r="AU109">
        <v>1</v>
      </c>
      <c r="AV109">
        <v>0</v>
      </c>
      <c r="AW109" s="1">
        <v>1150</v>
      </c>
      <c r="AX109">
        <v>0</v>
      </c>
      <c r="AY109">
        <v>0</v>
      </c>
      <c r="AZ109">
        <v>0</v>
      </c>
      <c r="BA109">
        <v>0</v>
      </c>
      <c r="BB109">
        <v>0</v>
      </c>
      <c r="BC109">
        <v>0</v>
      </c>
      <c r="BI109" s="1">
        <v>2560</v>
      </c>
      <c r="BO109" t="s">
        <v>104</v>
      </c>
      <c r="BQ109" t="s">
        <v>640</v>
      </c>
      <c r="BR109" s="2">
        <v>46249.711793981478</v>
      </c>
    </row>
    <row r="110" spans="1:70">
      <c r="A110" t="s">
        <v>641</v>
      </c>
      <c r="B110" t="s">
        <v>71</v>
      </c>
      <c r="C110">
        <v>200</v>
      </c>
      <c r="E110" t="s">
        <v>72</v>
      </c>
      <c r="G110" t="s">
        <v>642</v>
      </c>
      <c r="H110">
        <v>25</v>
      </c>
      <c r="I110">
        <v>257</v>
      </c>
      <c r="K110">
        <v>0</v>
      </c>
      <c r="L110">
        <v>0</v>
      </c>
      <c r="N110">
        <v>0</v>
      </c>
      <c r="O110" t="s">
        <v>643</v>
      </c>
      <c r="P110">
        <v>25</v>
      </c>
      <c r="R110">
        <v>0</v>
      </c>
      <c r="S110" t="s">
        <v>515</v>
      </c>
      <c r="T110">
        <v>33</v>
      </c>
      <c r="U110" t="s">
        <v>643</v>
      </c>
      <c r="V110">
        <v>25</v>
      </c>
      <c r="W110" t="s">
        <v>77</v>
      </c>
      <c r="Z110" t="s">
        <v>641</v>
      </c>
      <c r="AF110">
        <v>158782</v>
      </c>
      <c r="AG110">
        <v>33689</v>
      </c>
      <c r="AH110">
        <v>4784485</v>
      </c>
      <c r="AI110" s="1">
        <v>1696124</v>
      </c>
      <c r="AJ110" t="s">
        <v>78</v>
      </c>
      <c r="AK110">
        <v>311</v>
      </c>
      <c r="AL110">
        <v>81</v>
      </c>
      <c r="AM110" s="1">
        <v>3840</v>
      </c>
      <c r="AN110" t="s">
        <v>79</v>
      </c>
      <c r="AO110" t="s">
        <v>80</v>
      </c>
      <c r="AP110" s="1">
        <v>1825</v>
      </c>
      <c r="AQ110">
        <v>2</v>
      </c>
      <c r="AR110">
        <v>2</v>
      </c>
      <c r="AT110">
        <v>10</v>
      </c>
      <c r="AU110">
        <v>5</v>
      </c>
      <c r="AV110">
        <v>1</v>
      </c>
      <c r="AW110" s="1">
        <v>5750</v>
      </c>
      <c r="AX110">
        <v>113</v>
      </c>
      <c r="AY110">
        <v>29</v>
      </c>
      <c r="AZ110">
        <v>0</v>
      </c>
      <c r="BA110">
        <v>10</v>
      </c>
      <c r="BB110">
        <v>8</v>
      </c>
      <c r="BC110">
        <v>2</v>
      </c>
      <c r="BH110" t="s">
        <v>644</v>
      </c>
      <c r="BI110" s="1">
        <v>2442</v>
      </c>
      <c r="BJ110" t="s">
        <v>645</v>
      </c>
      <c r="BN110" t="s">
        <v>83</v>
      </c>
      <c r="BO110" t="s">
        <v>104</v>
      </c>
      <c r="BQ110" t="s">
        <v>641</v>
      </c>
      <c r="BR110" s="2">
        <v>46249.711724537039</v>
      </c>
    </row>
    <row r="111" spans="1:70">
      <c r="A111" t="s">
        <v>646</v>
      </c>
      <c r="B111" t="s">
        <v>71</v>
      </c>
      <c r="C111">
        <v>404</v>
      </c>
      <c r="E111" t="s">
        <v>87</v>
      </c>
      <c r="F111" t="s">
        <v>88</v>
      </c>
      <c r="H111">
        <v>0</v>
      </c>
      <c r="I111">
        <v>0</v>
      </c>
      <c r="K111">
        <v>0</v>
      </c>
      <c r="L111">
        <v>0</v>
      </c>
      <c r="N111">
        <v>0</v>
      </c>
      <c r="P111">
        <v>0</v>
      </c>
      <c r="R111">
        <v>0</v>
      </c>
      <c r="T111">
        <v>0</v>
      </c>
      <c r="V111">
        <v>0</v>
      </c>
      <c r="AF111">
        <v>122145</v>
      </c>
      <c r="AG111">
        <v>28571</v>
      </c>
      <c r="AH111">
        <v>912196</v>
      </c>
      <c r="AI111" s="1">
        <v>323378</v>
      </c>
      <c r="AJ111" t="s">
        <v>94</v>
      </c>
      <c r="AK111">
        <v>0</v>
      </c>
      <c r="AP111" t="s">
        <v>79</v>
      </c>
      <c r="AQ111">
        <v>3</v>
      </c>
      <c r="AR111">
        <v>5</v>
      </c>
      <c r="AT111">
        <v>1</v>
      </c>
      <c r="AU111">
        <v>1</v>
      </c>
      <c r="AV111">
        <v>0</v>
      </c>
      <c r="AW111" s="1">
        <v>1150</v>
      </c>
      <c r="AX111">
        <v>0</v>
      </c>
      <c r="AY111">
        <v>0</v>
      </c>
      <c r="AZ111">
        <v>0</v>
      </c>
      <c r="BA111">
        <v>0</v>
      </c>
      <c r="BB111">
        <v>0</v>
      </c>
      <c r="BC111">
        <v>0</v>
      </c>
      <c r="BI111" s="1">
        <v>2623</v>
      </c>
      <c r="BO111" t="s">
        <v>84</v>
      </c>
      <c r="BQ111" t="s">
        <v>646</v>
      </c>
      <c r="BR111" s="2">
        <v>46249.711898148147</v>
      </c>
    </row>
    <row r="112" spans="1:70">
      <c r="A112" t="s">
        <v>647</v>
      </c>
      <c r="B112" t="s">
        <v>207</v>
      </c>
      <c r="C112">
        <v>200</v>
      </c>
      <c r="E112" t="s">
        <v>72</v>
      </c>
      <c r="G112" t="s">
        <v>208</v>
      </c>
      <c r="H112">
        <v>27</v>
      </c>
      <c r="I112">
        <v>262</v>
      </c>
      <c r="K112">
        <v>0</v>
      </c>
      <c r="L112">
        <v>0</v>
      </c>
      <c r="N112">
        <v>0</v>
      </c>
      <c r="O112" t="s">
        <v>648</v>
      </c>
      <c r="P112">
        <v>13</v>
      </c>
      <c r="R112">
        <v>0</v>
      </c>
      <c r="T112">
        <v>0</v>
      </c>
      <c r="V112">
        <v>0</v>
      </c>
      <c r="AF112">
        <v>16918</v>
      </c>
      <c r="AG112">
        <v>5486</v>
      </c>
      <c r="AH112">
        <v>960301</v>
      </c>
      <c r="AI112" s="1">
        <v>340432</v>
      </c>
      <c r="AJ112" t="s">
        <v>94</v>
      </c>
      <c r="AK112">
        <v>26</v>
      </c>
      <c r="AL112">
        <v>9</v>
      </c>
      <c r="AM112" s="1">
        <v>2889</v>
      </c>
      <c r="AN112" s="1">
        <v>44464</v>
      </c>
      <c r="AO112" t="s">
        <v>211</v>
      </c>
      <c r="AP112" s="1">
        <v>2453</v>
      </c>
      <c r="AQ112">
        <v>3</v>
      </c>
      <c r="AR112">
        <v>1</v>
      </c>
      <c r="AT112">
        <v>2</v>
      </c>
      <c r="AU112">
        <v>2</v>
      </c>
      <c r="AV112">
        <v>0</v>
      </c>
      <c r="AW112" s="1">
        <v>2300</v>
      </c>
      <c r="AX112">
        <v>7</v>
      </c>
      <c r="AY112">
        <v>6</v>
      </c>
      <c r="AZ112">
        <v>0</v>
      </c>
      <c r="BA112">
        <v>2</v>
      </c>
      <c r="BB112">
        <v>2</v>
      </c>
      <c r="BC112">
        <v>0</v>
      </c>
      <c r="BH112" t="s">
        <v>649</v>
      </c>
      <c r="BI112" t="s">
        <v>650</v>
      </c>
      <c r="BN112" t="s">
        <v>214</v>
      </c>
      <c r="BO112" t="s">
        <v>84</v>
      </c>
      <c r="BQ112" t="s">
        <v>647</v>
      </c>
      <c r="BR112" s="2">
        <v>46249.711909722224</v>
      </c>
    </row>
    <row r="113" spans="1:70">
      <c r="A113" t="s">
        <v>651</v>
      </c>
      <c r="B113" t="s">
        <v>71</v>
      </c>
      <c r="C113">
        <v>200</v>
      </c>
      <c r="E113" t="s">
        <v>72</v>
      </c>
      <c r="G113" t="s">
        <v>652</v>
      </c>
      <c r="H113">
        <v>43</v>
      </c>
      <c r="I113">
        <v>425</v>
      </c>
      <c r="K113">
        <v>0</v>
      </c>
      <c r="L113">
        <v>0</v>
      </c>
      <c r="N113">
        <v>0</v>
      </c>
      <c r="O113" t="s">
        <v>191</v>
      </c>
      <c r="P113">
        <v>43</v>
      </c>
      <c r="Q113" t="s">
        <v>192</v>
      </c>
      <c r="R113">
        <v>59</v>
      </c>
      <c r="S113" t="s">
        <v>193</v>
      </c>
      <c r="T113">
        <v>6</v>
      </c>
      <c r="U113" t="s">
        <v>194</v>
      </c>
      <c r="V113">
        <v>10</v>
      </c>
      <c r="W113" t="s">
        <v>77</v>
      </c>
      <c r="Z113" t="s">
        <v>651</v>
      </c>
      <c r="AF113">
        <v>166699</v>
      </c>
      <c r="AG113">
        <v>33778</v>
      </c>
      <c r="AH113">
        <v>3051973</v>
      </c>
      <c r="AI113" s="1">
        <v>1081940</v>
      </c>
      <c r="AJ113" t="s">
        <v>78</v>
      </c>
      <c r="AK113">
        <v>222</v>
      </c>
      <c r="AL113">
        <v>57</v>
      </c>
      <c r="AM113" s="1">
        <v>3895</v>
      </c>
      <c r="AN113" s="1">
        <v>60358</v>
      </c>
      <c r="AO113" t="s">
        <v>415</v>
      </c>
      <c r="AP113" s="1">
        <v>1397</v>
      </c>
      <c r="AQ113">
        <v>3</v>
      </c>
      <c r="AR113">
        <v>2</v>
      </c>
      <c r="AT113">
        <v>7</v>
      </c>
      <c r="AU113">
        <v>3</v>
      </c>
      <c r="AV113">
        <v>1</v>
      </c>
      <c r="AW113" s="1">
        <v>3450</v>
      </c>
      <c r="AX113">
        <v>128</v>
      </c>
      <c r="AY113">
        <v>38</v>
      </c>
      <c r="AZ113">
        <v>0</v>
      </c>
      <c r="BA113">
        <v>8</v>
      </c>
      <c r="BB113">
        <v>7</v>
      </c>
      <c r="BC113">
        <v>2</v>
      </c>
      <c r="BH113" t="s">
        <v>653</v>
      </c>
      <c r="BI113" s="1">
        <v>3149</v>
      </c>
      <c r="BJ113" t="s">
        <v>654</v>
      </c>
      <c r="BN113" t="s">
        <v>83</v>
      </c>
      <c r="BO113" t="s">
        <v>84</v>
      </c>
      <c r="BQ113" t="s">
        <v>651</v>
      </c>
      <c r="BR113" s="2">
        <v>46249.711898148147</v>
      </c>
    </row>
    <row r="114" spans="1:70">
      <c r="A114" t="s">
        <v>655</v>
      </c>
      <c r="B114" t="s">
        <v>71</v>
      </c>
      <c r="C114">
        <v>200</v>
      </c>
      <c r="E114" t="s">
        <v>72</v>
      </c>
      <c r="G114" t="s">
        <v>656</v>
      </c>
      <c r="H114">
        <v>29</v>
      </c>
      <c r="I114">
        <v>290</v>
      </c>
      <c r="K114">
        <v>0</v>
      </c>
      <c r="L114">
        <v>0</v>
      </c>
      <c r="N114">
        <v>0</v>
      </c>
      <c r="O114" t="s">
        <v>191</v>
      </c>
      <c r="P114">
        <v>43</v>
      </c>
      <c r="Q114" t="s">
        <v>192</v>
      </c>
      <c r="R114">
        <v>59</v>
      </c>
      <c r="S114" t="s">
        <v>193</v>
      </c>
      <c r="T114">
        <v>6</v>
      </c>
      <c r="U114" t="s">
        <v>194</v>
      </c>
      <c r="V114">
        <v>10</v>
      </c>
      <c r="W114" t="s">
        <v>77</v>
      </c>
      <c r="Z114" t="s">
        <v>655</v>
      </c>
      <c r="AF114">
        <v>167366</v>
      </c>
      <c r="AG114">
        <v>33725</v>
      </c>
      <c r="AH114">
        <v>3070529</v>
      </c>
      <c r="AI114" s="1">
        <v>1088518</v>
      </c>
      <c r="AJ114" t="s">
        <v>78</v>
      </c>
      <c r="AK114">
        <v>231</v>
      </c>
      <c r="AL114">
        <v>60</v>
      </c>
      <c r="AM114" s="1">
        <v>3850</v>
      </c>
      <c r="AN114" s="1">
        <v>66688</v>
      </c>
      <c r="AO114" t="s">
        <v>415</v>
      </c>
      <c r="AP114" s="1">
        <v>1405</v>
      </c>
      <c r="AQ114">
        <v>3</v>
      </c>
      <c r="AR114">
        <v>2</v>
      </c>
      <c r="AT114">
        <v>8</v>
      </c>
      <c r="AU114">
        <v>4</v>
      </c>
      <c r="AV114">
        <v>1</v>
      </c>
      <c r="AW114" s="1">
        <v>4600</v>
      </c>
      <c r="AX114">
        <v>131</v>
      </c>
      <c r="AY114">
        <v>38</v>
      </c>
      <c r="AZ114">
        <v>0</v>
      </c>
      <c r="BA114">
        <v>8</v>
      </c>
      <c r="BB114">
        <v>7</v>
      </c>
      <c r="BC114">
        <v>2</v>
      </c>
      <c r="BH114" t="s">
        <v>657</v>
      </c>
      <c r="BI114" s="1">
        <v>3259</v>
      </c>
      <c r="BJ114" t="s">
        <v>654</v>
      </c>
      <c r="BN114" t="s">
        <v>83</v>
      </c>
      <c r="BO114" t="s">
        <v>84</v>
      </c>
      <c r="BQ114" t="s">
        <v>655</v>
      </c>
      <c r="BR114" s="2">
        <v>46249.711898148147</v>
      </c>
    </row>
    <row r="115" spans="1:70">
      <c r="A115" t="s">
        <v>658</v>
      </c>
      <c r="B115" t="s">
        <v>71</v>
      </c>
      <c r="C115">
        <v>200</v>
      </c>
      <c r="E115" t="s">
        <v>72</v>
      </c>
      <c r="G115" t="s">
        <v>659</v>
      </c>
      <c r="H115">
        <v>35</v>
      </c>
      <c r="I115">
        <v>342</v>
      </c>
      <c r="K115">
        <v>0</v>
      </c>
      <c r="L115">
        <v>0</v>
      </c>
      <c r="N115">
        <v>0</v>
      </c>
      <c r="O115" t="s">
        <v>191</v>
      </c>
      <c r="P115">
        <v>43</v>
      </c>
      <c r="Q115" t="s">
        <v>192</v>
      </c>
      <c r="R115">
        <v>59</v>
      </c>
      <c r="S115" t="s">
        <v>193</v>
      </c>
      <c r="T115">
        <v>6</v>
      </c>
      <c r="U115" t="s">
        <v>194</v>
      </c>
      <c r="V115">
        <v>10</v>
      </c>
      <c r="W115" t="s">
        <v>77</v>
      </c>
      <c r="Z115" t="s">
        <v>658</v>
      </c>
      <c r="AF115">
        <v>169192</v>
      </c>
      <c r="AG115">
        <v>33696</v>
      </c>
      <c r="AH115">
        <v>3029961</v>
      </c>
      <c r="AI115" s="1">
        <v>1074136</v>
      </c>
      <c r="AJ115" t="s">
        <v>78</v>
      </c>
      <c r="AK115">
        <v>262</v>
      </c>
      <c r="AL115">
        <v>67</v>
      </c>
      <c r="AM115" s="1">
        <v>3910</v>
      </c>
      <c r="AN115" s="1">
        <v>65956</v>
      </c>
      <c r="AO115" t="s">
        <v>415</v>
      </c>
      <c r="AP115" s="1">
        <v>1470</v>
      </c>
      <c r="AQ115">
        <v>3</v>
      </c>
      <c r="AR115">
        <v>2</v>
      </c>
      <c r="AT115">
        <v>9</v>
      </c>
      <c r="AU115">
        <v>5</v>
      </c>
      <c r="AV115">
        <v>1</v>
      </c>
      <c r="AW115" s="1">
        <v>5750</v>
      </c>
      <c r="AX115">
        <v>134</v>
      </c>
      <c r="AY115">
        <v>38</v>
      </c>
      <c r="AZ115">
        <v>0</v>
      </c>
      <c r="BA115">
        <v>8</v>
      </c>
      <c r="BB115">
        <v>7</v>
      </c>
      <c r="BC115">
        <v>2</v>
      </c>
      <c r="BH115" t="s">
        <v>660</v>
      </c>
      <c r="BI115" s="1">
        <v>4566</v>
      </c>
      <c r="BJ115" t="s">
        <v>661</v>
      </c>
      <c r="BN115" t="s">
        <v>83</v>
      </c>
      <c r="BO115" t="s">
        <v>84</v>
      </c>
      <c r="BQ115" t="s">
        <v>658</v>
      </c>
      <c r="BR115" s="2">
        <v>46249.711898148147</v>
      </c>
    </row>
    <row r="116" spans="1:70">
      <c r="A116" t="s">
        <v>662</v>
      </c>
      <c r="B116" t="s">
        <v>71</v>
      </c>
      <c r="C116">
        <v>403</v>
      </c>
      <c r="E116" t="s">
        <v>87</v>
      </c>
      <c r="F116" t="s">
        <v>88</v>
      </c>
      <c r="H116">
        <v>0</v>
      </c>
      <c r="I116">
        <v>0</v>
      </c>
      <c r="K116">
        <v>0</v>
      </c>
      <c r="L116">
        <v>0</v>
      </c>
      <c r="N116">
        <v>0</v>
      </c>
      <c r="P116">
        <v>0</v>
      </c>
      <c r="R116">
        <v>0</v>
      </c>
      <c r="T116">
        <v>0</v>
      </c>
      <c r="V116">
        <v>0</v>
      </c>
      <c r="AF116">
        <v>5740</v>
      </c>
      <c r="AG116">
        <v>4685</v>
      </c>
      <c r="AH116">
        <v>109837</v>
      </c>
      <c r="AI116" s="1">
        <v>38938</v>
      </c>
      <c r="AJ116" t="s">
        <v>89</v>
      </c>
      <c r="AK116">
        <v>0</v>
      </c>
      <c r="AP116" t="s">
        <v>79</v>
      </c>
      <c r="AQ116">
        <v>4</v>
      </c>
      <c r="AR116">
        <v>4</v>
      </c>
      <c r="AT116">
        <v>1</v>
      </c>
      <c r="AU116">
        <v>1</v>
      </c>
      <c r="AV116">
        <v>0</v>
      </c>
      <c r="AW116" s="1">
        <v>1150</v>
      </c>
      <c r="AX116">
        <v>0</v>
      </c>
      <c r="AY116">
        <v>0</v>
      </c>
      <c r="AZ116">
        <v>0</v>
      </c>
      <c r="BA116">
        <v>0</v>
      </c>
      <c r="BB116">
        <v>0</v>
      </c>
      <c r="BC116">
        <v>0</v>
      </c>
      <c r="BI116" t="s">
        <v>663</v>
      </c>
      <c r="BO116" t="s">
        <v>84</v>
      </c>
      <c r="BQ116" t="s">
        <v>662</v>
      </c>
      <c r="BR116" s="2">
        <v>46249.712071759262</v>
      </c>
    </row>
    <row r="117" spans="1:70">
      <c r="A117" t="s">
        <v>664</v>
      </c>
      <c r="B117" t="s">
        <v>71</v>
      </c>
      <c r="C117">
        <v>200</v>
      </c>
      <c r="E117" t="s">
        <v>87</v>
      </c>
      <c r="F117" t="s">
        <v>427</v>
      </c>
      <c r="G117" t="s">
        <v>665</v>
      </c>
      <c r="H117">
        <v>30</v>
      </c>
      <c r="I117">
        <v>305</v>
      </c>
      <c r="K117">
        <v>0</v>
      </c>
      <c r="L117">
        <v>0</v>
      </c>
      <c r="N117">
        <v>0</v>
      </c>
      <c r="O117" t="s">
        <v>191</v>
      </c>
      <c r="P117">
        <v>43</v>
      </c>
      <c r="Q117" t="s">
        <v>192</v>
      </c>
      <c r="R117">
        <v>59</v>
      </c>
      <c r="S117" t="s">
        <v>193</v>
      </c>
      <c r="T117">
        <v>6</v>
      </c>
      <c r="U117" t="s">
        <v>194</v>
      </c>
      <c r="V117">
        <v>10</v>
      </c>
      <c r="W117" t="s">
        <v>429</v>
      </c>
      <c r="AF117">
        <v>167064</v>
      </c>
      <c r="AG117">
        <v>33781</v>
      </c>
      <c r="AH117">
        <v>3225393</v>
      </c>
      <c r="AI117" s="1">
        <v>1143418</v>
      </c>
      <c r="AJ117" t="s">
        <v>78</v>
      </c>
      <c r="AK117">
        <v>237</v>
      </c>
      <c r="AL117">
        <v>61</v>
      </c>
      <c r="AM117" s="1">
        <v>3885</v>
      </c>
      <c r="AN117" s="1">
        <v>64033</v>
      </c>
      <c r="AO117" t="s">
        <v>415</v>
      </c>
      <c r="AP117" s="1">
        <v>1426</v>
      </c>
      <c r="AQ117">
        <v>3</v>
      </c>
      <c r="AR117">
        <v>3</v>
      </c>
      <c r="AT117">
        <v>11</v>
      </c>
      <c r="AU117">
        <v>6</v>
      </c>
      <c r="AV117">
        <v>1</v>
      </c>
      <c r="AW117" s="1">
        <v>6900</v>
      </c>
      <c r="AX117">
        <v>131</v>
      </c>
      <c r="AY117">
        <v>40</v>
      </c>
      <c r="AZ117">
        <v>0</v>
      </c>
      <c r="BA117">
        <v>8</v>
      </c>
      <c r="BB117">
        <v>7</v>
      </c>
      <c r="BC117">
        <v>2</v>
      </c>
      <c r="BH117" t="s">
        <v>666</v>
      </c>
      <c r="BI117" s="1">
        <v>2724</v>
      </c>
      <c r="BJ117" t="s">
        <v>667</v>
      </c>
      <c r="BN117" t="s">
        <v>83</v>
      </c>
      <c r="BO117" t="s">
        <v>104</v>
      </c>
      <c r="BQ117" t="s">
        <v>664</v>
      </c>
      <c r="BR117" s="2">
        <v>46249.71197916667</v>
      </c>
    </row>
    <row r="118" spans="1:70">
      <c r="A118" t="s">
        <v>668</v>
      </c>
      <c r="B118" t="s">
        <v>71</v>
      </c>
      <c r="C118">
        <v>404</v>
      </c>
      <c r="E118" t="s">
        <v>87</v>
      </c>
      <c r="F118" t="s">
        <v>88</v>
      </c>
      <c r="H118">
        <v>0</v>
      </c>
      <c r="I118">
        <v>0</v>
      </c>
      <c r="K118">
        <v>0</v>
      </c>
      <c r="L118">
        <v>0</v>
      </c>
      <c r="N118">
        <v>0</v>
      </c>
      <c r="P118">
        <v>0</v>
      </c>
      <c r="R118">
        <v>0</v>
      </c>
      <c r="T118">
        <v>0</v>
      </c>
      <c r="V118">
        <v>0</v>
      </c>
      <c r="AF118">
        <v>122158</v>
      </c>
      <c r="AG118">
        <v>28313</v>
      </c>
      <c r="AH118">
        <v>895176</v>
      </c>
      <c r="AI118" s="1">
        <v>317344</v>
      </c>
      <c r="AJ118" t="s">
        <v>94</v>
      </c>
      <c r="AK118">
        <v>0</v>
      </c>
      <c r="AP118" t="s">
        <v>79</v>
      </c>
      <c r="AQ118">
        <v>4</v>
      </c>
      <c r="AR118">
        <v>4</v>
      </c>
      <c r="AT118">
        <v>1</v>
      </c>
      <c r="AU118">
        <v>1</v>
      </c>
      <c r="AV118">
        <v>0</v>
      </c>
      <c r="AW118" s="1">
        <v>1150</v>
      </c>
      <c r="AX118">
        <v>0</v>
      </c>
      <c r="AY118">
        <v>0</v>
      </c>
      <c r="AZ118">
        <v>0</v>
      </c>
      <c r="BA118">
        <v>0</v>
      </c>
      <c r="BB118">
        <v>0</v>
      </c>
      <c r="BC118">
        <v>0</v>
      </c>
      <c r="BI118" s="1">
        <v>2589</v>
      </c>
      <c r="BO118" t="s">
        <v>84</v>
      </c>
      <c r="BQ118" t="s">
        <v>668</v>
      </c>
      <c r="BR118" s="2">
        <v>46249.712083333332</v>
      </c>
    </row>
    <row r="119" spans="1:70">
      <c r="A119" t="s">
        <v>669</v>
      </c>
      <c r="B119" t="s">
        <v>71</v>
      </c>
      <c r="C119">
        <v>404</v>
      </c>
      <c r="E119" t="s">
        <v>87</v>
      </c>
      <c r="F119" t="s">
        <v>88</v>
      </c>
      <c r="H119">
        <v>0</v>
      </c>
      <c r="I119">
        <v>0</v>
      </c>
      <c r="K119">
        <v>0</v>
      </c>
      <c r="L119">
        <v>0</v>
      </c>
      <c r="N119">
        <v>0</v>
      </c>
      <c r="P119">
        <v>0</v>
      </c>
      <c r="R119">
        <v>0</v>
      </c>
      <c r="T119">
        <v>0</v>
      </c>
      <c r="V119">
        <v>0</v>
      </c>
      <c r="AF119">
        <v>122170</v>
      </c>
      <c r="AG119">
        <v>28327</v>
      </c>
      <c r="AH119">
        <v>895366</v>
      </c>
      <c r="AI119" s="1">
        <v>317412</v>
      </c>
      <c r="AJ119" t="s">
        <v>94</v>
      </c>
      <c r="AK119">
        <v>0</v>
      </c>
      <c r="AP119" t="s">
        <v>79</v>
      </c>
      <c r="AQ119">
        <v>4</v>
      </c>
      <c r="AR119">
        <v>4</v>
      </c>
      <c r="AT119">
        <v>1</v>
      </c>
      <c r="AU119">
        <v>1</v>
      </c>
      <c r="AV119">
        <v>0</v>
      </c>
      <c r="AW119" s="1">
        <v>1150</v>
      </c>
      <c r="AX119">
        <v>0</v>
      </c>
      <c r="AY119">
        <v>0</v>
      </c>
      <c r="AZ119">
        <v>0</v>
      </c>
      <c r="BA119">
        <v>0</v>
      </c>
      <c r="BB119">
        <v>0</v>
      </c>
      <c r="BC119">
        <v>0</v>
      </c>
      <c r="BI119" s="1">
        <v>2988</v>
      </c>
      <c r="BO119" t="s">
        <v>84</v>
      </c>
      <c r="BQ119" t="s">
        <v>669</v>
      </c>
      <c r="BR119" s="2">
        <v>46249.712094907409</v>
      </c>
    </row>
    <row r="120" spans="1:70">
      <c r="A120" t="s">
        <v>670</v>
      </c>
      <c r="B120" t="s">
        <v>71</v>
      </c>
      <c r="C120">
        <v>404</v>
      </c>
      <c r="E120" t="s">
        <v>87</v>
      </c>
      <c r="F120" t="s">
        <v>88</v>
      </c>
      <c r="H120">
        <v>0</v>
      </c>
      <c r="I120">
        <v>0</v>
      </c>
      <c r="K120">
        <v>0</v>
      </c>
      <c r="L120">
        <v>0</v>
      </c>
      <c r="N120">
        <v>0</v>
      </c>
      <c r="P120">
        <v>0</v>
      </c>
      <c r="R120">
        <v>0</v>
      </c>
      <c r="T120">
        <v>0</v>
      </c>
      <c r="V120">
        <v>0</v>
      </c>
      <c r="AF120">
        <v>122145</v>
      </c>
      <c r="AG120">
        <v>28770</v>
      </c>
      <c r="AH120">
        <v>912641</v>
      </c>
      <c r="AI120" s="1">
        <v>323536</v>
      </c>
      <c r="AJ120" t="s">
        <v>94</v>
      </c>
      <c r="AK120">
        <v>0</v>
      </c>
      <c r="AP120" t="s">
        <v>79</v>
      </c>
      <c r="AQ120">
        <v>4</v>
      </c>
      <c r="AR120">
        <v>5</v>
      </c>
      <c r="AT120">
        <v>1</v>
      </c>
      <c r="AU120">
        <v>1</v>
      </c>
      <c r="AV120">
        <v>0</v>
      </c>
      <c r="AW120" s="1">
        <v>1150</v>
      </c>
      <c r="AX120">
        <v>0</v>
      </c>
      <c r="AY120">
        <v>0</v>
      </c>
      <c r="AZ120">
        <v>0</v>
      </c>
      <c r="BA120">
        <v>0</v>
      </c>
      <c r="BB120">
        <v>0</v>
      </c>
      <c r="BC120">
        <v>0</v>
      </c>
      <c r="BI120" s="1">
        <v>2495</v>
      </c>
      <c r="BO120" t="s">
        <v>104</v>
      </c>
      <c r="BQ120" t="s">
        <v>670</v>
      </c>
      <c r="BR120" s="2">
        <v>46249.712141203701</v>
      </c>
    </row>
    <row r="122" spans="1:70">
      <c r="A122" s="4" t="s">
        <v>671</v>
      </c>
      <c r="B122" t="s">
        <v>673</v>
      </c>
    </row>
    <row r="123" spans="1:70">
      <c r="A123" s="5">
        <v>200</v>
      </c>
      <c r="B123">
        <v>87</v>
      </c>
    </row>
    <row r="124" spans="1:70">
      <c r="A124" s="5">
        <v>301</v>
      </c>
      <c r="B124">
        <v>1</v>
      </c>
    </row>
    <row r="125" spans="1:70">
      <c r="A125" s="5">
        <v>302</v>
      </c>
      <c r="B125">
        <v>2</v>
      </c>
    </row>
    <row r="126" spans="1:70">
      <c r="A126" s="5">
        <v>403</v>
      </c>
      <c r="B126">
        <v>4</v>
      </c>
    </row>
    <row r="127" spans="1:70">
      <c r="A127" s="5">
        <v>404</v>
      </c>
      <c r="B127">
        <v>25</v>
      </c>
    </row>
    <row r="128" spans="1:70">
      <c r="A128" s="5" t="s">
        <v>672</v>
      </c>
      <c r="B128">
        <v>119</v>
      </c>
    </row>
    <row r="130" spans="1:2">
      <c r="A130" s="4" t="s">
        <v>671</v>
      </c>
      <c r="B130" t="s">
        <v>674</v>
      </c>
    </row>
    <row r="131" spans="1:2">
      <c r="A131" s="5" t="s">
        <v>72</v>
      </c>
      <c r="B131">
        <v>83</v>
      </c>
    </row>
    <row r="132" spans="1:2">
      <c r="A132" s="5" t="s">
        <v>87</v>
      </c>
      <c r="B132">
        <v>36</v>
      </c>
    </row>
    <row r="133" spans="1:2">
      <c r="A133" s="5" t="s">
        <v>672</v>
      </c>
      <c r="B133">
        <v>119</v>
      </c>
    </row>
  </sheetData>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1B470-8D32-4F17-AC2B-48923A242F64}">
  <dimension ref="A1:X21"/>
  <sheetViews>
    <sheetView topLeftCell="S1" zoomScale="85" zoomScaleNormal="85" workbookViewId="0">
      <selection activeCell="X17" activeCellId="1" sqref="E23:T34 X17"/>
    </sheetView>
  </sheetViews>
  <sheetFormatPr defaultRowHeight="14.4"/>
  <cols>
    <col min="1" max="1" width="20.5546875" bestFit="1" customWidth="1"/>
    <col min="2" max="2" width="5.77734375" bestFit="1" customWidth="1"/>
    <col min="3" max="3" width="10.33203125" bestFit="1" customWidth="1"/>
    <col min="4" max="4" width="10.5546875" bestFit="1" customWidth="1"/>
    <col min="5" max="5" width="12.44140625" bestFit="1" customWidth="1"/>
    <col min="6" max="6" width="5.77734375" bestFit="1" customWidth="1"/>
    <col min="7" max="7" width="10.5546875" customWidth="1"/>
    <col min="9" max="9" width="12.44140625" customWidth="1"/>
    <col min="12" max="12" width="48.21875" bestFit="1" customWidth="1"/>
    <col min="13" max="13" width="20.21875" bestFit="1" customWidth="1"/>
    <col min="14" max="14" width="27.44140625" bestFit="1" customWidth="1"/>
    <col min="15" max="15" width="19" bestFit="1" customWidth="1"/>
    <col min="18" max="18" width="23.33203125" bestFit="1" customWidth="1"/>
    <col min="19" max="19" width="14.88671875" bestFit="1" customWidth="1"/>
  </cols>
  <sheetData>
    <row r="1" spans="1:4">
      <c r="A1" s="18" t="s">
        <v>684</v>
      </c>
      <c r="B1" s="18"/>
      <c r="C1" s="18"/>
      <c r="D1" s="18"/>
    </row>
    <row r="2" spans="1:4">
      <c r="A2" t="s">
        <v>675</v>
      </c>
      <c r="B2" t="s">
        <v>676</v>
      </c>
      <c r="C2" s="6" t="s">
        <v>678</v>
      </c>
      <c r="D2" t="s">
        <v>2</v>
      </c>
    </row>
    <row r="3" spans="1:4">
      <c r="A3" t="s">
        <v>677</v>
      </c>
      <c r="B3">
        <f>ROWS(tblCrawl[Address])</f>
        <v>119</v>
      </c>
      <c r="C3" s="8">
        <f>1</f>
        <v>1</v>
      </c>
    </row>
    <row r="4" spans="1:4">
      <c r="A4" t="s">
        <v>679</v>
      </c>
      <c r="B4">
        <f>COUNTIF(tblCrawl[Status Code],D4)</f>
        <v>87</v>
      </c>
      <c r="C4" s="9">
        <f>IFERROR(B4/$B$3,0)</f>
        <v>0.73109243697478987</v>
      </c>
      <c r="D4">
        <v>200</v>
      </c>
    </row>
    <row r="5" spans="1:4">
      <c r="A5" t="s">
        <v>680</v>
      </c>
      <c r="B5">
        <f>COUNTIF(tblCrawl[Status Code],D5)</f>
        <v>1</v>
      </c>
      <c r="C5" s="9">
        <f t="shared" ref="C5:C8" si="0">IFERROR(B5/$B$3,0)</f>
        <v>8.4033613445378148E-3</v>
      </c>
      <c r="D5">
        <v>301</v>
      </c>
    </row>
    <row r="6" spans="1:4">
      <c r="A6" t="s">
        <v>681</v>
      </c>
      <c r="B6">
        <f>COUNTIF(tblCrawl[Status Code],D6)</f>
        <v>2</v>
      </c>
      <c r="C6" s="9">
        <f t="shared" si="0"/>
        <v>1.680672268907563E-2</v>
      </c>
      <c r="D6">
        <v>302</v>
      </c>
    </row>
    <row r="7" spans="1:4">
      <c r="A7" t="s">
        <v>682</v>
      </c>
      <c r="B7">
        <f>COUNTIF(tblCrawl[Status Code],D7)</f>
        <v>4</v>
      </c>
      <c r="C7" s="9">
        <f t="shared" si="0"/>
        <v>3.3613445378151259E-2</v>
      </c>
      <c r="D7">
        <v>403</v>
      </c>
    </row>
    <row r="8" spans="1:4">
      <c r="A8" t="s">
        <v>683</v>
      </c>
      <c r="B8">
        <f>COUNTIF(tblCrawl[Status Code],D8)</f>
        <v>25</v>
      </c>
      <c r="C8" s="9">
        <f t="shared" si="0"/>
        <v>0.21008403361344538</v>
      </c>
      <c r="D8">
        <v>404</v>
      </c>
    </row>
    <row r="10" spans="1:4">
      <c r="A10" t="s">
        <v>675</v>
      </c>
      <c r="B10" t="s">
        <v>676</v>
      </c>
      <c r="C10" s="6" t="s">
        <v>678</v>
      </c>
    </row>
    <row r="11" spans="1:4">
      <c r="A11" t="s">
        <v>677</v>
      </c>
      <c r="B11">
        <f>ROWS(tblCrawl[Address])</f>
        <v>119</v>
      </c>
      <c r="C11" s="7">
        <f>1</f>
        <v>1</v>
      </c>
    </row>
    <row r="12" spans="1:4">
      <c r="A12" t="s">
        <v>685</v>
      </c>
      <c r="B12">
        <f>COUNTIFS(tblCrawl[Status Code],"&gt;=200",tblCrawl[Status Code],"&lt;300")</f>
        <v>87</v>
      </c>
      <c r="C12" s="9">
        <f>IFERROR(B12/$B$11,0)</f>
        <v>0.73109243697478987</v>
      </c>
    </row>
    <row r="13" spans="1:4">
      <c r="A13" t="s">
        <v>686</v>
      </c>
      <c r="B13">
        <f>COUNTIFS(tblCrawl[Status Code],"&gt;=300",tblCrawl[Status Code],"&lt;400")</f>
        <v>3</v>
      </c>
      <c r="C13" s="9">
        <f>IFERROR(B13/$B$11,0)</f>
        <v>2.5210084033613446E-2</v>
      </c>
    </row>
    <row r="14" spans="1:4">
      <c r="A14" t="s">
        <v>687</v>
      </c>
      <c r="B14">
        <f>COUNTIFS(tblCrawl[Status Code],"&gt;=400",tblCrawl[Status Code],"&lt;500")</f>
        <v>29</v>
      </c>
      <c r="C14" s="9">
        <f>IFERROR(B14/$B$11,0)</f>
        <v>0.24369747899159663</v>
      </c>
    </row>
    <row r="15" spans="1:4">
      <c r="A15" t="s">
        <v>688</v>
      </c>
      <c r="B15">
        <f>COUNTIFS(tblCrawl[Status Code],"&gt;=500",tblCrawl[Status Code],"&lt;600")</f>
        <v>0</v>
      </c>
      <c r="C15" s="9">
        <f>IFERROR(B15/$B$11,0)</f>
        <v>0</v>
      </c>
    </row>
    <row r="17" spans="1:24">
      <c r="X17" t="s">
        <v>703</v>
      </c>
    </row>
    <row r="18" spans="1:24">
      <c r="A18" t="s">
        <v>675</v>
      </c>
      <c r="B18" t="s">
        <v>676</v>
      </c>
      <c r="C18" s="6" t="s">
        <v>678</v>
      </c>
    </row>
    <row r="19" spans="1:24">
      <c r="A19" t="s">
        <v>677</v>
      </c>
      <c r="B19">
        <f>ROWS(tblCrawl[Address])</f>
        <v>119</v>
      </c>
      <c r="C19" s="9">
        <f>1</f>
        <v>1</v>
      </c>
    </row>
    <row r="20" spans="1:24">
      <c r="A20" t="s">
        <v>689</v>
      </c>
      <c r="B20">
        <f>COUNTIF(tblCrawl[Indexability],"Indexable")</f>
        <v>83</v>
      </c>
      <c r="C20" s="9">
        <f>IFERROR(B20/$B$19,0)</f>
        <v>0.69747899159663862</v>
      </c>
    </row>
    <row r="21" spans="1:24">
      <c r="A21" t="s">
        <v>690</v>
      </c>
      <c r="B21">
        <f>COUNTIF(tblCrawl[Indexability],"Non-Indexable")</f>
        <v>36</v>
      </c>
      <c r="C21" s="9">
        <f>IFERROR(B21/$B$19,0)</f>
        <v>0.30252100840336132</v>
      </c>
    </row>
  </sheetData>
  <mergeCells count="1">
    <mergeCell ref="A1:D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9AAD-E2BC-408A-964B-50CBDF4AEF8D}">
  <dimension ref="A1:O7"/>
  <sheetViews>
    <sheetView workbookViewId="0">
      <selection activeCell="M24" sqref="M24"/>
    </sheetView>
  </sheetViews>
  <sheetFormatPr defaultRowHeight="14.4"/>
  <cols>
    <col min="1" max="1" width="12.44140625" bestFit="1" customWidth="1"/>
    <col min="2" max="2" width="5.77734375" bestFit="1" customWidth="1"/>
    <col min="3" max="3" width="10.21875" bestFit="1" customWidth="1"/>
    <col min="5" max="5" width="12.44140625" bestFit="1" customWidth="1"/>
    <col min="6" max="6" width="3" bestFit="1" customWidth="1"/>
    <col min="7" max="7" width="7.109375" bestFit="1" customWidth="1"/>
    <col min="8" max="8" width="48.21875" bestFit="1" customWidth="1"/>
    <col min="9" max="9" width="19" bestFit="1" customWidth="1"/>
    <col min="10" max="10" width="25.88671875" bestFit="1" customWidth="1"/>
    <col min="11" max="11" width="19" bestFit="1" customWidth="1"/>
    <col min="12" max="12" width="5.77734375" bestFit="1" customWidth="1"/>
    <col min="13" max="13" width="10.33203125" bestFit="1" customWidth="1"/>
    <col min="14" max="14" width="22.109375" bestFit="1" customWidth="1"/>
    <col min="15" max="15" width="14.21875" bestFit="1" customWidth="1"/>
  </cols>
  <sheetData>
    <row r="1" spans="1:15">
      <c r="A1" s="18" t="s">
        <v>691</v>
      </c>
      <c r="B1" s="18"/>
      <c r="C1" s="18"/>
    </row>
    <row r="2" spans="1:15">
      <c r="A2" t="s">
        <v>692</v>
      </c>
      <c r="B2" t="s">
        <v>676</v>
      </c>
      <c r="C2" t="s">
        <v>678</v>
      </c>
      <c r="E2" s="18" t="s">
        <v>693</v>
      </c>
      <c r="F2" s="18"/>
      <c r="G2" s="18"/>
      <c r="H2" t="s">
        <v>694</v>
      </c>
      <c r="I2" t="s">
        <v>695</v>
      </c>
      <c r="J2" s="6" t="s">
        <v>696</v>
      </c>
      <c r="K2" s="6" t="s">
        <v>695</v>
      </c>
      <c r="L2" s="6" t="s">
        <v>676</v>
      </c>
      <c r="M2" s="6" t="s">
        <v>678</v>
      </c>
      <c r="N2" s="6" t="s">
        <v>701</v>
      </c>
      <c r="O2" s="6" t="s">
        <v>702</v>
      </c>
    </row>
    <row r="3" spans="1:15">
      <c r="A3" t="str" cm="1">
        <f t="array" ref="A3:A6">_xlfn._xlws.SORT(_xlfn.UNIQUE(_xlfn._xlws.FILTER(tblCrawl[Indexability Status],tblCrawl[Indexability]="Non-Indexable")))</f>
        <v>Canonicalised</v>
      </c>
      <c r="B3" cm="1">
        <f t="array" ref="B3:B6">COUNTIF(tblCrawl[Indexability Status],_xlfn.ANCHORARRAY(A3))</f>
        <v>2</v>
      </c>
      <c r="C3" s="9" cm="1">
        <f t="array" ref="C3:C6">IFERROR(_xlfn.ANCHORARRAY(B3)/SUM(_xlfn.ANCHORARRAY(B3)),0)</f>
        <v>5.5555555555555552E-2</v>
      </c>
      <c r="E3" t="str" cm="1">
        <f t="array" ref="E3:G6">_xlfn.LET(
_xlpm.Reason,_xlfn.ANCHORARRAY(A3),
_xlpm.Jumlah,_xlfn.ANCHORARRAY(B3),
_xlpm.Persen,_xlfn.ANCHORARRAY(C3),
_xlfn.SORTBY(_xlfn.HSTACK(_xlpm.Reason,_xlpm.Jumlah,_xlpm.Persen),_xlpm.Jumlah,-1)
)</f>
        <v>Client Error</v>
      </c>
      <c r="F3">
        <v>29</v>
      </c>
      <c r="G3" s="9">
        <v>0.80555555555555558</v>
      </c>
      <c r="H3" t="str" cm="1">
        <f t="array" ref="H3">_xlfn.SWITCH(
E3,
"Client Error","Halaman tidak dapat diakses atau tidak ditemukan",
"Redirected","URL mengarahkan pengunjung ke halaman lain",
"Canonicalised","Halaman dianggap sebagai versi duplikat dari halaman lain",
"noindex","Halaman sengaja tidak ditampilkan di hasil pencarian",
"Noindex","Halaman sengaja tidak ditampilkan di hasil pencarian",
"Blocked by robots.txt","Akses mesin pencari ke halaman dibatasi",
"Perlu pemeriksaan teknis lebih lanjut"
)</f>
        <v>Halaman tidak dapat diakses atau tidak ditemukan</v>
      </c>
      <c r="I3" t="str" cm="1">
        <f t="array" ref="I3">_xlfn.SWITCH(
E3,
"Client Error","Priority 1 - Validate/Fix",
"Redirected","Priority 2 - Review",
"Canonicalised","Priority 2 - Review",
"noindex","Expected / Verify",
"Noindex","Expected / Verify",
"Blocked by robots.txt","Expected / Verify",
"Technical Review"
)</f>
        <v>Priority 1 - Validate/Fix</v>
      </c>
      <c r="J3" t="s">
        <v>697</v>
      </c>
      <c r="K3" t="str" cm="1">
        <f t="array" ref="K3:K5">_xlfn._xlws.SORT(_xlfn.UNIQUE(_xlfn._xlws.FILTER(I3:I12,I3:I12&lt;&gt;"")))</f>
        <v>Expected / Verify</v>
      </c>
      <c r="L3" cm="1">
        <f t="array" ref="L3:L5">SUMIF($I$3:$I$12,_xlfn.ANCHORARRAY(K3),$F$3:$F$12)</f>
        <v>2</v>
      </c>
      <c r="M3" s="9" cm="1">
        <f t="array" ref="M3:M5">IFERROR(_xlfn.ANCHORARRAY(L3)/SUM(_xlfn.ANCHORARRAY(L3)),0)</f>
        <v>5.5555555555555552E-2</v>
      </c>
      <c r="N3" t="str" cm="1">
        <f t="array" ref="N3">_xlfn.SWITCH(
K3,
"Priority 1 - Validate/Fix","Perlu Ditangani Lebih Dulu",
"Priority 2 - Review","Perlu Ditinjau",
"Expected / Verify","Perlu Diverifikasi",
"Technical Review","Perlu Review Teknis",
"Perlu Ditinjau"
)</f>
        <v>Perlu Diverifikasi</v>
      </c>
      <c r="O3" t="str" cm="1">
        <f t="array" ref="O3:O5">_xlfn.ANCHORARRAY(L3)&amp;" URL ("&amp;TEXT(_xlfn.ANCHORARRAY(M3),"0,00%")&amp;")"</f>
        <v>2 URL (5,56%)</v>
      </c>
    </row>
    <row r="4" spans="1:15">
      <c r="A4" t="str">
        <v>Client Error</v>
      </c>
      <c r="B4">
        <v>29</v>
      </c>
      <c r="C4" s="9">
        <v>0.80555555555555558</v>
      </c>
      <c r="E4" t="str">
        <v>Redirected</v>
      </c>
      <c r="F4">
        <v>3</v>
      </c>
      <c r="G4" s="9">
        <v>8.3333333333333329E-2</v>
      </c>
      <c r="H4" t="str" cm="1">
        <f t="array" ref="H4">_xlfn.SWITCH(
E4,
"Client Error","Halaman tidak dapat diakses atau tidak ditemukan",
"Redirected","URL mengarahkan pengunjung ke halaman lain",
"Canonicalised","Halaman dianggap sebagai versi duplikat dari halaman lain",
"noindex","Halaman sengaja tidak ditampilkan di hasil pencarian",
"Noindex","Halaman sengaja tidak ditampilkan di hasil pencarian",
"Blocked by robots.txt","Akses mesin pencari ke halaman dibatasi",
"Perlu pemeriksaan teknis lebih lanjut"
)</f>
        <v>URL mengarahkan pengunjung ke halaman lain</v>
      </c>
      <c r="I4" t="str" cm="1">
        <f t="array" ref="I4">_xlfn.SWITCH(
E4,
"Client Error","Priority 1 - Validate/Fix",
"Redirected","Priority 2 - Review",
"Canonicalised","Priority 2 - Review",
"noindex","Expected / Verify",
"Noindex","Expected / Verify",
"Blocked by robots.txt","Expected / Verify",
"Technical Review"
)</f>
        <v>Priority 2 - Review</v>
      </c>
      <c r="J4" t="s">
        <v>698</v>
      </c>
      <c r="K4" t="str">
        <v>Priority 1 - Validate/Fix</v>
      </c>
      <c r="L4">
        <v>29</v>
      </c>
      <c r="M4" s="9">
        <v>0.80555555555555558</v>
      </c>
      <c r="N4" t="str" cm="1">
        <f t="array" ref="N4">_xlfn.SWITCH(
K4,
"Priority 1 - Validate/Fix","Perlu Ditangani Lebih Dulu",
"Priority 2 - Review","Perlu Ditinjau",
"Expected / Verify","Perlu Diverifikasi",
"Technical Review","Perlu Review Teknis",
"Perlu Ditinjau"
)</f>
        <v>Perlu Ditangani Lebih Dulu</v>
      </c>
      <c r="O4" t="str">
        <v>29 URL (80,56%)</v>
      </c>
    </row>
    <row r="5" spans="1:15">
      <c r="A5" t="str">
        <v>noindex</v>
      </c>
      <c r="B5">
        <v>2</v>
      </c>
      <c r="C5" s="9">
        <v>5.5555555555555552E-2</v>
      </c>
      <c r="E5" t="str">
        <v>Canonicalised</v>
      </c>
      <c r="F5">
        <v>2</v>
      </c>
      <c r="G5" s="9">
        <v>5.5555555555555552E-2</v>
      </c>
      <c r="H5" t="str" cm="1">
        <f t="array" ref="H5">_xlfn.SWITCH(
E5,
"Client Error","Halaman tidak dapat diakses atau tidak ditemukan",
"Redirected","URL mengarahkan pengunjung ke halaman lain",
"Canonicalised","Halaman dianggap sebagai versi duplikat dari halaman lain",
"noindex","Halaman sengaja tidak ditampilkan di hasil pencarian",
"Noindex","Halaman sengaja tidak ditampilkan di hasil pencarian",
"Blocked by robots.txt","Akses mesin pencari ke halaman dibatasi",
"Perlu pemeriksaan teknis lebih lanjut"
)</f>
        <v>Halaman dianggap sebagai versi duplikat dari halaman lain</v>
      </c>
      <c r="I5" t="str" cm="1">
        <f t="array" ref="I5">_xlfn.SWITCH(
E5,
"Client Error","Priority 1 - Validate/Fix",
"Redirected","Priority 2 - Review",
"Canonicalised","Priority 2 - Review",
"noindex","Expected / Verify",
"Noindex","Expected / Verify",
"Blocked by robots.txt","Expected / Verify",
"Technical Review"
)</f>
        <v>Priority 2 - Review</v>
      </c>
      <c r="J5" t="s">
        <v>699</v>
      </c>
      <c r="K5" t="str">
        <v>Priority 2 - Review</v>
      </c>
      <c r="L5">
        <v>5</v>
      </c>
      <c r="M5" s="9">
        <v>0.1388888888888889</v>
      </c>
      <c r="N5" t="str" cm="1">
        <f t="array" ref="N5">_xlfn.SWITCH(
K5,
"Priority 1 - Validate/Fix","Perlu Ditangani Lebih Dulu",
"Priority 2 - Review","Perlu Ditinjau",
"Expected / Verify","Perlu Diverifikasi",
"Technical Review","Perlu Review Teknis",
"Perlu Ditinjau"
)</f>
        <v>Perlu Ditinjau</v>
      </c>
      <c r="O5" t="str">
        <v>5 URL (13,89%)</v>
      </c>
    </row>
    <row r="6" spans="1:15">
      <c r="A6" t="str">
        <v>Redirected</v>
      </c>
      <c r="B6">
        <v>3</v>
      </c>
      <c r="C6" s="9">
        <v>8.3333333333333329E-2</v>
      </c>
      <c r="E6" t="str">
        <v>noindex</v>
      </c>
      <c r="F6">
        <v>2</v>
      </c>
      <c r="G6" s="9">
        <v>5.5555555555555552E-2</v>
      </c>
      <c r="H6" t="str" cm="1">
        <f t="array" ref="H6">_xlfn.SWITCH(
E6,
"Client Error","Halaman tidak dapat diakses atau tidak ditemukan",
"Redirected","URL mengarahkan pengunjung ke halaman lain",
"Canonicalised","Halaman dianggap sebagai versi duplikat dari halaman lain",
"noindex","Halaman sengaja tidak ditampilkan di hasil pencarian",
"Noindex","Halaman sengaja tidak ditampilkan di hasil pencarian",
"Blocked by robots.txt","Akses mesin pencari ke halaman dibatasi",
"Perlu pemeriksaan teknis lebih lanjut"
)</f>
        <v>Halaman sengaja tidak ditampilkan di hasil pencarian</v>
      </c>
      <c r="I6" t="str" cm="1">
        <f t="array" ref="I6">_xlfn.SWITCH(
E6,
"Client Error","Priority 1 - Validate/Fix",
"Redirected","Priority 2 - Review",
"Canonicalised","Priority 2 - Review",
"noindex","Expected / Verify",
"Noindex","Expected / Verify",
"Blocked by robots.txt","Expected / Verify",
"Technical Review"
)</f>
        <v>Expected / Verify</v>
      </c>
      <c r="J6" t="s">
        <v>700</v>
      </c>
      <c r="L6">
        <f>SUM(_xlfn.ANCHORARRAY(L3))</f>
        <v>36</v>
      </c>
      <c r="M6" s="8">
        <f>SUM(_xlfn.ANCHORARRAY(M3))</f>
        <v>1</v>
      </c>
    </row>
    <row r="7" spans="1:15">
      <c r="B7">
        <f>SUM(_xlfn.ANCHORARRAY(B3))</f>
        <v>36</v>
      </c>
      <c r="C7" s="8">
        <f>SUM(_xlfn.ANCHORARRAY(C3))</f>
        <v>1</v>
      </c>
    </row>
  </sheetData>
  <mergeCells count="2">
    <mergeCell ref="A1:C1"/>
    <mergeCell ref="E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C3CA5-26BE-4C01-9092-6E4AC8DC039C}">
  <dimension ref="A1:O44"/>
  <sheetViews>
    <sheetView zoomScale="55" zoomScaleNormal="55" workbookViewId="0">
      <selection activeCell="J51" sqref="J51"/>
    </sheetView>
  </sheetViews>
  <sheetFormatPr defaultRowHeight="14.4"/>
  <sheetData>
    <row r="1" spans="1:15">
      <c r="A1" s="19" t="s">
        <v>704</v>
      </c>
      <c r="B1" s="20"/>
      <c r="C1" s="20"/>
      <c r="D1" s="20"/>
      <c r="E1" s="20"/>
      <c r="F1" s="20"/>
      <c r="G1" s="20"/>
      <c r="H1" s="20"/>
      <c r="I1" s="20"/>
      <c r="J1" s="20"/>
      <c r="K1" s="20"/>
      <c r="L1" s="20"/>
      <c r="M1" s="20"/>
      <c r="N1" s="20"/>
      <c r="O1" s="20"/>
    </row>
    <row r="2" spans="1:15">
      <c r="A2" s="20"/>
      <c r="B2" s="20"/>
      <c r="C2" s="20"/>
      <c r="D2" s="20"/>
      <c r="E2" s="20"/>
      <c r="F2" s="20"/>
      <c r="G2" s="20"/>
      <c r="H2" s="20"/>
      <c r="I2" s="20"/>
      <c r="J2" s="20"/>
      <c r="K2" s="20"/>
      <c r="L2" s="20"/>
      <c r="M2" s="20"/>
      <c r="N2" s="20"/>
      <c r="O2" s="20"/>
    </row>
    <row r="3" spans="1:15">
      <c r="A3" s="20"/>
      <c r="B3" s="20"/>
      <c r="C3" s="20"/>
      <c r="D3" s="20"/>
      <c r="E3" s="20"/>
      <c r="F3" s="20"/>
      <c r="G3" s="20"/>
      <c r="H3" s="20"/>
      <c r="I3" s="20"/>
      <c r="J3" s="20"/>
      <c r="K3" s="20"/>
      <c r="L3" s="20"/>
      <c r="M3" s="20"/>
      <c r="N3" s="20"/>
      <c r="O3" s="20"/>
    </row>
    <row r="41" spans="1:15">
      <c r="A41" s="19" t="s">
        <v>705</v>
      </c>
      <c r="B41" s="19"/>
      <c r="C41" s="19"/>
      <c r="D41" s="19"/>
      <c r="E41" s="19"/>
      <c r="F41" s="19"/>
      <c r="G41" s="19"/>
      <c r="H41" s="19"/>
      <c r="I41" s="19"/>
      <c r="J41" s="19"/>
      <c r="K41" s="19"/>
      <c r="L41" s="19"/>
      <c r="M41" s="19"/>
      <c r="N41" s="19"/>
      <c r="O41" s="19"/>
    </row>
    <row r="42" spans="1:15">
      <c r="A42" s="19"/>
      <c r="B42" s="19"/>
      <c r="C42" s="19"/>
      <c r="D42" s="19"/>
      <c r="E42" s="19"/>
      <c r="F42" s="19"/>
      <c r="G42" s="19"/>
      <c r="H42" s="19"/>
      <c r="I42" s="19"/>
      <c r="J42" s="19"/>
      <c r="K42" s="19"/>
      <c r="L42" s="19"/>
      <c r="M42" s="19"/>
      <c r="N42" s="19"/>
      <c r="O42" s="19"/>
    </row>
    <row r="43" spans="1:15">
      <c r="A43" s="19"/>
      <c r="B43" s="19"/>
      <c r="C43" s="19"/>
      <c r="D43" s="19"/>
      <c r="E43" s="19"/>
      <c r="F43" s="19"/>
      <c r="G43" s="19"/>
      <c r="H43" s="19"/>
      <c r="I43" s="19"/>
      <c r="J43" s="19"/>
      <c r="K43" s="19"/>
      <c r="L43" s="19"/>
      <c r="M43" s="19"/>
      <c r="N43" s="19"/>
      <c r="O43" s="19"/>
    </row>
    <row r="44" spans="1:15">
      <c r="A44" s="19"/>
      <c r="B44" s="19"/>
      <c r="C44" s="19"/>
      <c r="D44" s="19"/>
      <c r="E44" s="19"/>
      <c r="F44" s="19"/>
      <c r="G44" s="19"/>
      <c r="H44" s="19"/>
      <c r="I44" s="19"/>
      <c r="J44" s="19"/>
      <c r="K44" s="19"/>
      <c r="L44" s="19"/>
      <c r="M44" s="19"/>
      <c r="N44" s="19"/>
      <c r="O44" s="19"/>
    </row>
  </sheetData>
  <mergeCells count="2">
    <mergeCell ref="A1:O3"/>
    <mergeCell ref="A41:O4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C4886-2351-4956-B86A-48F1F2D6857B}">
  <dimension ref="A1:EE88"/>
  <sheetViews>
    <sheetView topLeftCell="EB1" workbookViewId="0">
      <selection activeCell="EC11" sqref="EC11"/>
    </sheetView>
  </sheetViews>
  <sheetFormatPr defaultRowHeight="14.4"/>
  <cols>
    <col min="72" max="72" width="40.33203125" bestFit="1" customWidth="1"/>
    <col min="73" max="73" width="15.33203125" bestFit="1" customWidth="1"/>
    <col min="78" max="78" width="78" bestFit="1" customWidth="1"/>
    <col min="79" max="79" width="12.6640625" bestFit="1" customWidth="1"/>
    <col min="80" max="80" width="15.33203125" bestFit="1" customWidth="1"/>
    <col min="81" max="81" width="9.77734375" bestFit="1" customWidth="1"/>
    <col min="82" max="82" width="22.5546875" bestFit="1" customWidth="1"/>
    <col min="87" max="87" width="78" bestFit="1" customWidth="1"/>
    <col min="88" max="88" width="10.6640625" bestFit="1" customWidth="1"/>
    <col min="90" max="90" width="22.5546875" bestFit="1" customWidth="1"/>
    <col min="93" max="93" width="52.77734375" bestFit="1" customWidth="1"/>
    <col min="95" max="95" width="15.5546875" bestFit="1" customWidth="1"/>
    <col min="97" max="97" width="25.21875" bestFit="1" customWidth="1"/>
    <col min="105" max="105" width="21.21875" customWidth="1"/>
    <col min="106" max="106" width="22.5546875" bestFit="1" customWidth="1"/>
  </cols>
  <sheetData>
    <row r="1" spans="1:135">
      <c r="A1" t="str" cm="1">
        <f t="array" ref="A1:BR1">tblCrawl[#Headers]</f>
        <v>Address</v>
      </c>
      <c r="B1" t="str">
        <v>Content Type</v>
      </c>
      <c r="C1" t="str">
        <v>Status Code</v>
      </c>
      <c r="D1" t="str">
        <v>Status</v>
      </c>
      <c r="E1" t="str">
        <v>Indexability</v>
      </c>
      <c r="F1" t="str">
        <v>Indexability Status</v>
      </c>
      <c r="G1" t="str">
        <v>Title 1</v>
      </c>
      <c r="H1" t="str">
        <v>Title 1 Length</v>
      </c>
      <c r="I1" t="str">
        <v>Title 1 Pixel Width</v>
      </c>
      <c r="J1" t="str">
        <v>Meta Description 1</v>
      </c>
      <c r="K1" t="str">
        <v>Meta Description 1 Length</v>
      </c>
      <c r="L1" t="str">
        <v>Meta Description 1 Pixel Width</v>
      </c>
      <c r="M1" t="str">
        <v>Meta Keywords 1</v>
      </c>
      <c r="N1" t="str">
        <v>Meta Keywords 1 Length</v>
      </c>
      <c r="O1" t="str">
        <v>H1-1</v>
      </c>
      <c r="P1" t="str">
        <v>H1-1 Length</v>
      </c>
      <c r="Q1" t="str">
        <v>H1-2</v>
      </c>
      <c r="R1" t="str">
        <v>H1-2 Length</v>
      </c>
      <c r="S1" t="str">
        <v>H2-1</v>
      </c>
      <c r="T1" t="str">
        <v>H2-1 Length</v>
      </c>
      <c r="U1" t="str">
        <v>H2-2</v>
      </c>
      <c r="V1" t="str">
        <v>H2-2 Length</v>
      </c>
      <c r="W1" t="str">
        <v>Meta Robots 1</v>
      </c>
      <c r="X1" t="str">
        <v>X-Robots-Tag 1</v>
      </c>
      <c r="Y1" t="str">
        <v>Meta Refresh 1</v>
      </c>
      <c r="Z1" t="str">
        <v>Canonical Link Element 1</v>
      </c>
      <c r="AA1" t="str">
        <v>rel="next" 1</v>
      </c>
      <c r="AB1" t="str">
        <v>rel="prev" 1</v>
      </c>
      <c r="AC1" t="str">
        <v>HTTP rel="next" 1</v>
      </c>
      <c r="AD1" t="str">
        <v>HTTP rel="prev" 1</v>
      </c>
      <c r="AE1" t="str">
        <v>amphtml Link Element</v>
      </c>
      <c r="AF1" t="str">
        <v>Size (bytes)</v>
      </c>
      <c r="AG1" t="str">
        <v>Transferred (bytes)</v>
      </c>
      <c r="AH1" t="str">
        <v>Total Transferred (bytes)</v>
      </c>
      <c r="AI1" t="str">
        <v>CO2 (mg)</v>
      </c>
      <c r="AJ1" t="str">
        <v>Carbon Rating</v>
      </c>
      <c r="AK1" t="str">
        <v>Word Count</v>
      </c>
      <c r="AL1" t="str">
        <v>Sentence Count</v>
      </c>
      <c r="AM1" t="str">
        <v>Average Words Per Sentence</v>
      </c>
      <c r="AN1" t="str">
        <v>Flesch Reading Ease Score</v>
      </c>
      <c r="AO1" t="str">
        <v>Readability</v>
      </c>
      <c r="AP1" t="str">
        <v>Text Ratio</v>
      </c>
      <c r="AQ1" t="str">
        <v>Crawl Depth</v>
      </c>
      <c r="AR1" t="str">
        <v>Folder Depth</v>
      </c>
      <c r="AS1" t="str">
        <v>Link Score</v>
      </c>
      <c r="AT1" t="str">
        <v>Inlinks</v>
      </c>
      <c r="AU1" t="str">
        <v>Unique Inlinks</v>
      </c>
      <c r="AV1" t="str">
        <v>Unique JS Inlinks</v>
      </c>
      <c r="AW1" t="str">
        <v>% of Total</v>
      </c>
      <c r="AX1" t="str">
        <v>Outlinks</v>
      </c>
      <c r="AY1" t="str">
        <v>Unique Outlinks</v>
      </c>
      <c r="AZ1" t="str">
        <v>Unique JS Outlinks</v>
      </c>
      <c r="BA1" t="str">
        <v>External Outlinks</v>
      </c>
      <c r="BB1" t="str">
        <v>Unique External Outlinks</v>
      </c>
      <c r="BC1" t="str">
        <v>Unique External JS Outlinks</v>
      </c>
      <c r="BD1" t="str">
        <v>Closest Similarity Match</v>
      </c>
      <c r="BE1" t="str">
        <v>No. Near Duplicates</v>
      </c>
      <c r="BF1" t="str">
        <v>Spelling Errors</v>
      </c>
      <c r="BG1" t="str">
        <v>Grammar Errors</v>
      </c>
      <c r="BH1" t="str">
        <v>Hash</v>
      </c>
      <c r="BI1" t="str">
        <v>Response Time</v>
      </c>
      <c r="BJ1" t="str">
        <v>Last Modified</v>
      </c>
      <c r="BK1" t="str">
        <v>Redirect URL</v>
      </c>
      <c r="BL1" t="str">
        <v>Redirect Type</v>
      </c>
      <c r="BM1" t="str">
        <v>Cookies</v>
      </c>
      <c r="BN1" t="str">
        <v>Language</v>
      </c>
      <c r="BO1" t="str">
        <v>HTTP Version</v>
      </c>
      <c r="BP1" t="str">
        <v>Mobile Alternate Link</v>
      </c>
      <c r="BQ1" t="str">
        <v>URL Encoded Address</v>
      </c>
      <c r="BR1" t="str">
        <v>Crawl Timestamp</v>
      </c>
      <c r="BT1" t="s">
        <v>675</v>
      </c>
      <c r="BU1" t="s">
        <v>676</v>
      </c>
      <c r="BV1" t="s">
        <v>678</v>
      </c>
      <c r="BZ1" t="s">
        <v>709</v>
      </c>
      <c r="CA1" t="s">
        <v>4</v>
      </c>
      <c r="CB1" t="s">
        <v>5</v>
      </c>
      <c r="CC1" t="s">
        <v>710</v>
      </c>
      <c r="CD1" s="6" t="s">
        <v>714</v>
      </c>
      <c r="CE1" s="6" t="s">
        <v>715</v>
      </c>
      <c r="CF1" t="s">
        <v>710</v>
      </c>
      <c r="CG1" t="s">
        <v>676</v>
      </c>
      <c r="CH1" t="s">
        <v>678</v>
      </c>
      <c r="CI1" t="s">
        <v>712</v>
      </c>
      <c r="CJ1" t="s">
        <v>713</v>
      </c>
      <c r="CK1" t="s">
        <v>716</v>
      </c>
      <c r="CL1" s="6" t="s">
        <v>714</v>
      </c>
      <c r="CM1" s="6" t="s">
        <v>676</v>
      </c>
      <c r="CO1" s="6" t="s">
        <v>717</v>
      </c>
      <c r="CP1" s="6" t="s">
        <v>676</v>
      </c>
      <c r="CQ1" t="s">
        <v>718</v>
      </c>
      <c r="CS1" s="6" t="s">
        <v>719</v>
      </c>
      <c r="CT1" s="6" t="s">
        <v>720</v>
      </c>
      <c r="CU1" s="6" t="s">
        <v>678</v>
      </c>
      <c r="CV1" s="6" t="s">
        <v>721</v>
      </c>
      <c r="CW1" s="6" t="s">
        <v>722</v>
      </c>
      <c r="CX1" s="6" t="s">
        <v>676</v>
      </c>
      <c r="CY1" s="6" t="s">
        <v>678</v>
      </c>
      <c r="DA1" s="6" t="s">
        <v>723</v>
      </c>
      <c r="DB1" s="6" t="s">
        <v>714</v>
      </c>
      <c r="DC1" s="6" t="s">
        <v>4</v>
      </c>
      <c r="DD1" s="6" t="s">
        <v>716</v>
      </c>
      <c r="DE1" t="s">
        <v>724</v>
      </c>
      <c r="DF1" t="s">
        <v>725</v>
      </c>
      <c r="DG1" s="6" t="s">
        <v>726</v>
      </c>
      <c r="DI1" s="6" t="s">
        <v>722</v>
      </c>
      <c r="DJ1" s="6" t="s">
        <v>676</v>
      </c>
      <c r="DK1" s="6" t="s">
        <v>678</v>
      </c>
      <c r="DM1" s="6" t="s">
        <v>727</v>
      </c>
      <c r="DN1" s="6" t="s">
        <v>714</v>
      </c>
      <c r="DO1" s="6" t="s">
        <v>4</v>
      </c>
      <c r="DP1" s="6" t="s">
        <v>728</v>
      </c>
      <c r="DQ1" s="6" t="s">
        <v>729</v>
      </c>
      <c r="DS1" s="6" t="s">
        <v>730</v>
      </c>
      <c r="DT1" s="6" t="s">
        <v>676</v>
      </c>
      <c r="DU1" s="6" t="s">
        <v>678</v>
      </c>
      <c r="DV1" s="6" t="s">
        <v>731</v>
      </c>
      <c r="DW1" s="6" t="s">
        <v>715</v>
      </c>
      <c r="DX1" s="6" t="s">
        <v>731</v>
      </c>
      <c r="DY1" s="6" t="s">
        <v>676</v>
      </c>
      <c r="DZ1" s="6" t="s">
        <v>678</v>
      </c>
      <c r="EA1" s="6" t="s">
        <v>732</v>
      </c>
      <c r="EC1" s="6" t="s">
        <v>733</v>
      </c>
      <c r="ED1" s="6" t="s">
        <v>676</v>
      </c>
      <c r="EE1" s="6" t="s">
        <v>678</v>
      </c>
    </row>
    <row r="2" spans="1:135">
      <c r="A2" t="str" cm="1">
        <f t="array" ref="A2:BR88">_xlfn._xlws.FILTER(tblCrawl[],tblCrawl[Status Code]=200,"Tidak ada URL 200")</f>
        <v>https://pmb.widyatama.ac.id/</v>
      </c>
      <c r="B2" t="str">
        <v>text/html; charset=UTF-8</v>
      </c>
      <c r="C2">
        <v>200</v>
      </c>
      <c r="D2">
        <v>0</v>
      </c>
      <c r="E2" t="str">
        <v>Indexable</v>
      </c>
      <c r="F2">
        <v>0</v>
      </c>
      <c r="G2" t="str">
        <v>Home - PMB UTama</v>
      </c>
      <c r="H2">
        <v>16</v>
      </c>
      <c r="I2">
        <v>182</v>
      </c>
      <c r="J2">
        <v>0</v>
      </c>
      <c r="K2">
        <v>0</v>
      </c>
      <c r="L2">
        <v>0</v>
      </c>
      <c r="M2">
        <v>0</v>
      </c>
      <c r="N2">
        <v>0</v>
      </c>
      <c r="O2" t="str">
        <v>Penerimaan Mahasiswa Baru Universitas Widyatama Bandung</v>
      </c>
      <c r="P2">
        <v>55</v>
      </c>
      <c r="Q2">
        <v>0</v>
      </c>
      <c r="R2">
        <v>0</v>
      </c>
      <c r="S2" t="str">
        <v>Temukan Jalur Kuliah yang Paling Sesuai</v>
      </c>
      <c r="T2">
        <v>39</v>
      </c>
      <c r="U2" t="str">
        <v>Program Studi Diploma, Sarjana, dan Pascasarjana</v>
      </c>
      <c r="V2">
        <v>48</v>
      </c>
      <c r="W2" t="str">
        <v>index, follow, max-image-preview:large, max-snippet:-1, max-video-preview:-1</v>
      </c>
      <c r="X2">
        <v>0</v>
      </c>
      <c r="Y2">
        <v>0</v>
      </c>
      <c r="Z2" t="str">
        <v>https://pmb.widyatama.ac.id/</v>
      </c>
      <c r="AA2">
        <v>0</v>
      </c>
      <c r="AB2">
        <v>0</v>
      </c>
      <c r="AC2">
        <v>0</v>
      </c>
      <c r="AD2">
        <v>0</v>
      </c>
      <c r="AE2">
        <v>0</v>
      </c>
      <c r="AF2">
        <v>222241</v>
      </c>
      <c r="AG2">
        <v>46607</v>
      </c>
      <c r="AH2">
        <v>37100272</v>
      </c>
      <c r="AI2">
        <v>13152232</v>
      </c>
      <c r="AJ2" t="str">
        <v>F</v>
      </c>
      <c r="AK2">
        <v>961</v>
      </c>
      <c r="AL2">
        <v>199</v>
      </c>
      <c r="AM2">
        <v>4829</v>
      </c>
      <c r="AN2" t="str">
        <v>0.000</v>
      </c>
      <c r="AO2" t="str">
        <v>Very Hard</v>
      </c>
      <c r="AP2">
        <v>3528</v>
      </c>
      <c r="AQ2">
        <v>0</v>
      </c>
      <c r="AR2">
        <v>0</v>
      </c>
      <c r="AS2">
        <v>0</v>
      </c>
      <c r="AT2">
        <v>466</v>
      </c>
      <c r="AU2">
        <v>77</v>
      </c>
      <c r="AV2">
        <v>77</v>
      </c>
      <c r="AW2">
        <v>88510</v>
      </c>
      <c r="AX2">
        <v>128</v>
      </c>
      <c r="AY2">
        <v>32</v>
      </c>
      <c r="AZ2">
        <v>0</v>
      </c>
      <c r="BA2">
        <v>21</v>
      </c>
      <c r="BB2">
        <v>12</v>
      </c>
      <c r="BC2">
        <v>4</v>
      </c>
      <c r="BD2">
        <v>0</v>
      </c>
      <c r="BE2">
        <v>0</v>
      </c>
      <c r="BF2">
        <v>0</v>
      </c>
      <c r="BG2">
        <v>0</v>
      </c>
      <c r="BH2" t="str">
        <v>a20e81bc6438e5cebb62cebec82d43c2</v>
      </c>
      <c r="BI2">
        <v>3290</v>
      </c>
      <c r="BJ2" t="str">
        <v>Saturday, 15-Aug-2026 09:54:51 GMT</v>
      </c>
      <c r="BK2">
        <v>0</v>
      </c>
      <c r="BL2">
        <v>0</v>
      </c>
      <c r="BM2">
        <v>0</v>
      </c>
      <c r="BN2" t="str">
        <v>en-US</v>
      </c>
      <c r="BO2" t="str">
        <v>2.0</v>
      </c>
      <c r="BP2">
        <v>0</v>
      </c>
      <c r="BQ2" t="str">
        <v>https://pmb.widyatama.ac.id/</v>
      </c>
      <c r="BR2">
        <v>46249.704710648148</v>
      </c>
      <c r="BT2" t="s">
        <v>706</v>
      </c>
      <c r="BU2">
        <f>COUNTIF(tblCrawl[Status Code],200)</f>
        <v>87</v>
      </c>
      <c r="BV2" s="9">
        <f>1</f>
        <v>1</v>
      </c>
      <c r="BZ2" t="str" cm="1">
        <f t="array" ref="BZ2:BZ88">_xlfn._xlws.FILTER(tblCrawl[Address],tblCrawl[Status Code]=200,"")</f>
        <v>https://pmb.widyatama.ac.id/</v>
      </c>
      <c r="CA2" t="str" cm="1">
        <f t="array" ref="CA2:CA88">_xlfn._xlws.FILTER(tblCrawl[Indexability],tblCrawl[Status Code]=200,"")</f>
        <v>Indexable</v>
      </c>
      <c r="CB2" cm="1">
        <f t="array" ref="CB2:CB88">_xlfn._xlws.FILTER(tblCrawl[Indexability Status],tblCrawl[Status Code]=200,"")</f>
        <v>0</v>
      </c>
      <c r="CC2" t="str" cm="1">
        <f t="array" ref="CC2:CC88">_xlfn.LET(
_xlpm.u,LOWER(_xlfn.ANCHORARRAY(BZ2)),
IF(
_xlpm.u="https://pmb.widyatama.ac.id/",
"Homepage",
IF(
ISNUMBER(SEARCH("/biaya",_xlpm.u)),
"Pricing",
IF(
(ISNUMBER(SEARCH("/program",_xlpm.u))+ISNUMBER(SEARCH("/jurusan",_xlpm.u)))&gt;0,
"Program",
IF(
(ISNUMBER(SEARCH("/jalur",_xlpm.u))+ISNUMBER(SEARCH("/seleksi",_xlpm.u))+ISNUMBER(SEARCH("/pendaftaran",_xlpm.u)))&gt;0,
"Admission",
IF(
(ISNUMBER(SEARCH("/beasiswa",_xlpm.u))+ISNUMBER(SEARCH("/campaign",_xlpm.u))+ISNUMBER(SEARCH("/promo",_xlpm.u)))&gt;0,
"Campaign",
IF(
(ISNUMBER(SEARCH("/berita",_xlpm.u))+ISNUMBER(SEARCH("/artikel",_xlpm.u))+ISNUMBER(SEARCH("/news",_xlpm.u)))&gt;0,
"Content",
"Other"
)
)
)
)
)
)
)</f>
        <v>Homepage</v>
      </c>
      <c r="CD2" t="str" cm="1">
        <f t="array" ref="CD2:CD88">IF(
ISNUMBER(SEARCH("online.pmb.widyatama.ac.id",_xlfn.ANCHORARRAY(BZ2))),
"Online Registration System",
"Main PMB Website"
)</f>
        <v>Main PMB Website</v>
      </c>
      <c r="CE2" t="str" cm="1">
        <f t="array" ref="CE2:CE88">IF((_xlfn.ANCHORARRAY(CD2)="Main PMB Website")+(_xlfn.ANCHORARRAY(CD2)="Online Registration System"),"Yes","Review")</f>
        <v>Yes</v>
      </c>
      <c r="CF2" t="str" cm="1">
        <f t="array" ref="CF2:CF7">_xlfn._xlws.SORT(_xlfn.UNIQUE(_xlfn.ANCHORARRAY(CC2)))</f>
        <v>Admission</v>
      </c>
      <c r="CG2">
        <f>COUNTIF(_xlfn.ANCHORARRAY(CC2),CF2)</f>
        <v>13</v>
      </c>
      <c r="CH2" s="9">
        <f t="shared" ref="CH2:CH7" si="0">IFERROR(CG2/SUM($CG$2:$CG$7),0)</f>
        <v>0.14942528735632185</v>
      </c>
      <c r="CI2" t="str" cm="1">
        <f t="array" ref="CI2:CI40">_xlfn._xlws.FILTER(_xlfn.ANCHORARRAY(BZ2),_xlfn.ANCHORARRAY(CC2)="Other","Tidak ada URL Other")</f>
        <v>https://pmb.widyatama.ac.id/petunjuk-pendaftaran/</v>
      </c>
      <c r="CJ2">
        <f>ROWS(_xlfn.ANCHORARRAY(CI2))</f>
        <v>39</v>
      </c>
      <c r="CK2" t="str" cm="1">
        <f t="array" ref="CK2:CK40">_xlfn.LET(
_xlpm.path,_xlfn.TEXTAFTER(_xlfn.ANCHORARRAY(CI2),"/",3),
IF(_xlpm.path="","Homepage/System Root",_xlfn.TEXTBEFORE(_xlpm.path&amp;"/","/"))
)</f>
        <v>petunjuk-pendaftaran</v>
      </c>
      <c r="CL2" t="str" cm="1">
        <f t="array" ref="CL2:CL3">_xlfn._xlws.SORT(_xlfn.UNIQUE(_xlfn.ANCHORARRAY(CD2)))</f>
        <v>Main PMB Website</v>
      </c>
      <c r="CM2">
        <f>COUNTIF(_xlfn.ANCHORARRAY(CD2),CL2)</f>
        <v>77</v>
      </c>
      <c r="CO2" t="str" cm="1">
        <f t="array" ref="CO2:CO29">_xlfn._xlws.SORT(_xlfn.UNIQUE(_xlfn.ANCHORARRAY(CK2)))</f>
        <v>2025</v>
      </c>
      <c r="CP2">
        <f>COUNTIF(_xlfn.ANCHORARRAY($CK$2),CO2)</f>
        <v>2</v>
      </c>
      <c r="CQ2" t="str" cm="1">
        <f t="array" ref="CQ2">_xlfn.LET(
_xlpm.s,LOWER(CO2),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S2" t="str" cm="1">
        <f t="array" ref="CS2:CS10">_xlfn._xlws.SORT(_xlfn.UNIQUE(_xlfn._xlws.FILTER(CQ2:CQ100,CQ2:CQ100&lt;&gt;"")))</f>
        <v>Admission</v>
      </c>
      <c r="CT2">
        <f>SUMIF($CQ$2:$CQ$100,CS2,$CP$2:$CP$100)</f>
        <v>2</v>
      </c>
      <c r="CU2" s="9">
        <f>IFERROR(CT2/SUM($CT$2:$CT$20),0)</f>
        <v>5.128205128205128E-2</v>
      </c>
      <c r="CV2" t="str" cm="1">
        <f t="array" ref="CV2:CV88">_xlfn.LET(
_xlpm.u,_xlfn.ANCHORARRAY(BZ2),
_xlpm.initial,_xlfn.ANCHORARRAY(CC2),
_xlpm.path,IFERROR(_xlfn.TEXTAFTER(_xlpm.u,"/",3),""),
_xlpm.slug,IF(_xlpm.path="","Homepage/System Root",_xlfn.TEXTBEFORE(_xlpm.path&amp;"/","/")),
IF(
_xlpm.initial&lt;&gt;"Other",
_xlpm.initial,
_xlfn.XLOOKUP(_xlpm.slug,$CO$2:$CO$100,$CQ$2:$CQ$100,"Other Review")
)
)</f>
        <v>Homepage</v>
      </c>
      <c r="CW2" t="str" cm="1">
        <f t="array" ref="CW2:CW14">_xlfn._xlws.SORT(_xlfn.UNIQUE(_xlfn.ANCHORARRAY(CV2)))</f>
        <v>Admission</v>
      </c>
      <c r="CX2">
        <f>COUNTIF(_xlfn.ANCHORARRAY($CV$2),CW2)</f>
        <v>15</v>
      </c>
      <c r="CY2" s="9">
        <f>IFERROR(CX2/ROWS(_xlfn.ANCHORARRAY($CV$2)),0)</f>
        <v>0.17241379310344829</v>
      </c>
      <c r="DA2" t="str" cm="1">
        <f t="array" ref="DA2:DA5">_xlfn._xlws.FILTER(_xlfn.ANCHORARRAY(BZ2),_xlfn.ANCHORARRAY(CV2)="Other Review","Tidak ada Other Review")</f>
        <v>https://online.pmb.widyatama.ac.id/hasil</v>
      </c>
      <c r="DB2" t="str" cm="1">
        <f t="array" ref="DB2:DB5">_xlfn._xlws.FILTER(_xlfn.ANCHORARRAY(CD2),_xlfn.ANCHORARRAY(CV2)="Other Review","")</f>
        <v>Online Registration System</v>
      </c>
      <c r="DC2" t="str" cm="1">
        <f t="array" ref="DC2:DC5">_xlfn._xlws.FILTER(_xlfn.ANCHORARRAY(CA2),_xlfn.ANCHORARRAY(CV2)="Other Review","")</f>
        <v>Indexable</v>
      </c>
      <c r="DD2" t="str" cm="1">
        <f t="array" ref="DD2:DD5">_xlfn.LET(
_xlpm.path,_xlfn.TEXTAFTER(_xlfn.ANCHORARRAY(DA2),"/",3),
IF(_xlpm.path="","Homepage/System Root",_xlfn.TEXTBEFORE(_xlpm.path&amp;"/","/"))
)</f>
        <v>hasil</v>
      </c>
      <c r="DE2" t="str" cm="1">
        <f t="array" ref="DE2:DE5">_xlfn.LET(
_xlpm.path,_xlfn.TEXTAFTER(_xlfn.ANCHORARRAY(DA2),"/",3),
_xlpm.rest,IFERROR(_xlfn.TEXTAFTER(_xlpm.path,"/"),""),
IF(_xlpm.rest="","(none)",_xlfn.TEXTBEFORE(_xlpm.rest&amp;"/","/"))
)</f>
        <v>(none)</v>
      </c>
      <c r="DF2" t="str" cm="1">
        <f t="array" ref="DF2:DF5">IF(_xlfn.ANCHORARRAY(
DB2)="Online Registration System",
"Registration System",
IF(_xlfn.ANCHORARRAY(
DD2)="category",
"Content Archive",
"Other Review"
)
)</f>
        <v>Registration System</v>
      </c>
      <c r="DG2" t="str" cm="1">
        <f t="array" ref="DG2:DG88">_xlfn.LET(
_xlpm.u,_xlfn.ANCHORARRAY(BZ2),
_xlpm.current,_xlfn.ANCHORARRAY(CV2),
IF(
_xlpm.current&lt;&gt;"Other Review",
_xlpm.current,
_xlfn.XLOOKUP(_xlpm.u,_xlfn.ANCHORARRAY(DA2),_xlfn.ANCHORARRAY(DF2),"Other Review")
)
)</f>
        <v>Homepage</v>
      </c>
      <c r="DI2" t="str" cm="1">
        <f t="array" ref="DI2:DI14">_xlfn._xlws.SORT(_xlfn.UNIQUE(_xlfn.ANCHORARRAY(DG2)))</f>
        <v>Admission</v>
      </c>
      <c r="DJ2">
        <f>COUNTIF(_xlfn.ANCHORARRAY($DG$2),DI2)</f>
        <v>15</v>
      </c>
      <c r="DK2" s="9">
        <f>IFERROR(DJ2/ROWS(_xlfn.ANCHORARRAY($DG$2)),0)</f>
        <v>0.17241379310344829</v>
      </c>
      <c r="DM2" t="str" cm="1">
        <f t="array" ref="DM2:DM12">_xlfn._xlws.FILTER(_xlfn.ANCHORARRAY(BZ2),_xlfn.ANCHORARRAY(DG2)="Content Review","Tidak ada Content Review")</f>
        <v>https://pmb.widyatama.ac.id/democracy-in-indonesia-why-it-feels-weak-at-the-grassroots/</v>
      </c>
      <c r="DN2" t="str" cm="1">
        <f t="array" ref="DN2:DN12">_xlfn._xlws.FILTER(_xlfn.ANCHORARRAY(CD2),_xlfn.ANCHORARRAY(DG2)="Content Review","")</f>
        <v>Main PMB Website</v>
      </c>
      <c r="DO2" t="str" cm="1">
        <f t="array" ref="DO2:DO12">_xlfn._xlws.FILTER(_xlfn.ANCHORARRAY(CA2),_xlfn.ANCHORARRAY(DG2)="Content Review","")</f>
        <v>Indexable</v>
      </c>
      <c r="DQ2" t="str" cm="1">
        <f t="array" ref="DQ2:DQ12">_xlfn.LET(
_xlpm.txt,LOWER(_xlfn.ANCHORARRAY(DM2)&amp;" "&amp;_xlfn.ANCHORARRAY(DP2)),
IF(
(
ISNUMBER(SEARCH("democracy-in-indonesia",_xlpm.txt))+
ISNUMBER(SEARCH("hidden-dangers-of-sugar",_xlpm.txt))+
ISNUMBER(SEARCH("rapid-advancement-of-digital-technology",_xlpm.txt))
)&gt;0,
"Likely Irrelevant to PMB",
IF(
(
ISNUMBER(SEARCH("pmb",_xlpm.txt))+
ISNUMBER(SEARCH("pendaftaran",_xlpm.txt))+
ISNUMBER(SEARCH("beasiswa",_xlpm.txt))+
ISNUMBER(SEARCH("program",_xlpm.txt))+
ISNUMBER(SEARCH("jurusan",_xlpm.txt))+
ISNUMBER(SEARCH("mahasiswa",_xlpm.txt))+
ISNUMBER(SEARCH("widyatama",_xlpm.txt))
)&gt;0,
"Likely Relevant to PMB",
"Needs Manual Review"
)
)
)</f>
        <v>Needs Manual Review</v>
      </c>
      <c r="DS2" t="str" cm="1">
        <f t="array" ref="DS2">_xlfn._xlws.SORT(_xlfn.UNIQUE(_xlfn._xlws.FILTER(DQ2:DQ100,DQ2:DQ100&lt;&gt;"")))</f>
        <v>Needs Manual Review</v>
      </c>
      <c r="DT2">
        <f>COUNTIF($DQ$2:$DQ$100,DS2)</f>
        <v>11</v>
      </c>
      <c r="DU2" s="9">
        <f>IFERROR(DT2/SUM($DT$2:$DT$10),0)</f>
        <v>1</v>
      </c>
      <c r="DV2" t="str" cm="1">
        <f t="array" ref="DV2:DV88">_xlfn.LET(
_xlpm.scope,_xlfn.ANCHORARRAY(CD2),
_xlpm.ptype,_xlfn.ANCHORARRAY(DG2),
IF(
_xlpm.ptype="Content Review",
"Content Audit",
IF(
_xlpm.scope="Online Registration System",
"Registration System",
"Core PMB Website"
)
)
)</f>
        <v>Core PMB Website</v>
      </c>
      <c r="DW2" t="str" cm="1">
        <f t="array" ref="DW2:DW88">IF(_xlfn.ANCHORARRAY(DV2)&lt;&gt;"","Yes","Review")</f>
        <v>Yes</v>
      </c>
      <c r="DX2" s="6" t="str" cm="1">
        <f t="array" ref="DX2:DX4">_xlfn._xlws.SORT(_xlfn.UNIQUE(_xlfn.ANCHORARRAY(DV2)))</f>
        <v>Content Audit</v>
      </c>
      <c r="DY2">
        <f>COUNTIF(_xlfn.ANCHORARRAY($DV$2),DX2)</f>
        <v>11</v>
      </c>
      <c r="DZ2" s="9">
        <f>IFERROR(DY2/ROWS(_xlfn.ANCHORARRAY($DV$2)),0)</f>
        <v>0.12643678160919541</v>
      </c>
      <c r="EA2" t="str" cm="1">
        <f t="array" ref="EA2:EA88">_xlfn.LET(
_xlpm.pt,_xlfn.ANCHORARRAY(DG2),
_xlpm.seg,_xlfn.ANCHORARRAY(DV2),
IF(
_xlpm.seg="Content Audit",
"P4 - Content Audit",
IF(
((_xlpm.pt="Homepage")+(_xlpm.pt="Admission")+(_xlpm.pt="Pricing")+(_xlpm.pt="Program")+(_xlpm.pt="Registration System"))&gt;0,
"P1 - Critical",
IF(
((_xlpm.pt="Campaign")+(_xlpm.pt="International")+(_xlpm.pt="Information")+(_xlpm.pt="Campus Life"))&gt;0,
"P2 - High",
"P3 - Standard"
)
)
)
)</f>
        <v>P1 - Critical</v>
      </c>
      <c r="EC2" t="str" cm="1">
        <f t="array" ref="EC2:EC5">_xlfn._xlws.SORT(_xlfn.UNIQUE(_xlfn.ANCHORARRAY(EA2)))</f>
        <v>P1 - Critical</v>
      </c>
      <c r="ED2">
        <f>COUNTIF(_xlfn.ANCHORARRAY($EA$2),EC2)</f>
        <v>59</v>
      </c>
      <c r="EE2" s="9">
        <f>IFERROR(ED2/ROWS(_xlfn.ANCHORARRAY($EA$2)),0)</f>
        <v>0.67816091954022983</v>
      </c>
    </row>
    <row r="3" spans="1:135">
      <c r="A3" t="str">
        <v>https://pmb.widyatama.ac.id/petunjuk-pendaftaran/</v>
      </c>
      <c r="B3" t="str">
        <v>text/html; charset=UTF-8</v>
      </c>
      <c r="C3">
        <v>200</v>
      </c>
      <c r="D3">
        <v>0</v>
      </c>
      <c r="E3" t="str">
        <v>Indexable</v>
      </c>
      <c r="F3">
        <v>0</v>
      </c>
      <c r="G3" t="str">
        <v>Petunjuk Pendaftaran - PMB UTama</v>
      </c>
      <c r="H3">
        <v>32</v>
      </c>
      <c r="I3">
        <v>322</v>
      </c>
      <c r="J3">
        <v>0</v>
      </c>
      <c r="K3">
        <v>0</v>
      </c>
      <c r="L3">
        <v>0</v>
      </c>
      <c r="M3">
        <v>0</v>
      </c>
      <c r="N3">
        <v>0</v>
      </c>
      <c r="O3" t="str">
        <v>Petunjuk Pendaftaran Mahasiswa Baru Universitas Widyatama</v>
      </c>
      <c r="P3">
        <v>57</v>
      </c>
      <c r="Q3">
        <v>0</v>
      </c>
      <c r="R3">
        <v>0</v>
      </c>
      <c r="S3" t="str">
        <v>Buat akun PMB lebih dulu, lalu ikuti setiap tahap dengan urut.</v>
      </c>
      <c r="T3">
        <v>62</v>
      </c>
      <c r="U3" t="str">
        <v>Cara Mudah Daftar Kuliah Online</v>
      </c>
      <c r="V3">
        <v>31</v>
      </c>
      <c r="W3" t="str">
        <v>index, follow, max-image-preview:large, max-snippet:-1, max-video-preview:-1</v>
      </c>
      <c r="X3">
        <v>0</v>
      </c>
      <c r="Y3">
        <v>0</v>
      </c>
      <c r="Z3" t="str">
        <v>https://pmb.widyatama.ac.id/petunjuk-pendaftaran/</v>
      </c>
      <c r="AA3">
        <v>0</v>
      </c>
      <c r="AB3">
        <v>0</v>
      </c>
      <c r="AC3">
        <v>0</v>
      </c>
      <c r="AD3">
        <v>0</v>
      </c>
      <c r="AE3">
        <v>0</v>
      </c>
      <c r="AF3">
        <v>175545</v>
      </c>
      <c r="AG3">
        <v>38335</v>
      </c>
      <c r="AH3">
        <v>3734312</v>
      </c>
      <c r="AI3">
        <v>1323832</v>
      </c>
      <c r="AJ3" t="str">
        <v>F</v>
      </c>
      <c r="AK3">
        <v>943</v>
      </c>
      <c r="AL3">
        <v>197</v>
      </c>
      <c r="AM3">
        <v>4787</v>
      </c>
      <c r="AN3">
        <v>13847</v>
      </c>
      <c r="AO3" t="str">
        <v>Very Hard</v>
      </c>
      <c r="AP3">
        <v>3382</v>
      </c>
      <c r="AQ3">
        <v>1</v>
      </c>
      <c r="AR3">
        <v>1</v>
      </c>
      <c r="AS3">
        <v>0</v>
      </c>
      <c r="AT3">
        <v>334</v>
      </c>
      <c r="AU3">
        <v>77</v>
      </c>
      <c r="AV3">
        <v>80</v>
      </c>
      <c r="AW3">
        <v>88510</v>
      </c>
      <c r="AX3">
        <v>139</v>
      </c>
      <c r="AY3">
        <v>30</v>
      </c>
      <c r="AZ3">
        <v>1</v>
      </c>
      <c r="BA3">
        <v>17</v>
      </c>
      <c r="BB3">
        <v>9</v>
      </c>
      <c r="BC3">
        <v>4</v>
      </c>
      <c r="BD3">
        <v>0</v>
      </c>
      <c r="BE3">
        <v>0</v>
      </c>
      <c r="BF3">
        <v>0</v>
      </c>
      <c r="BG3">
        <v>0</v>
      </c>
      <c r="BH3" t="str">
        <v>a2d3f3de39b760ce0970219c23bc52b8</v>
      </c>
      <c r="BI3" t="str">
        <v>0.098</v>
      </c>
      <c r="BJ3" t="str">
        <v>Saturday, 15-Aug-2026 09:55:42 GMT</v>
      </c>
      <c r="BK3">
        <v>0</v>
      </c>
      <c r="BL3">
        <v>0</v>
      </c>
      <c r="BM3">
        <v>0</v>
      </c>
      <c r="BN3" t="str">
        <v>en-US</v>
      </c>
      <c r="BO3" t="str">
        <v>None</v>
      </c>
      <c r="BP3">
        <v>0</v>
      </c>
      <c r="BQ3" t="str">
        <v>https://pmb.widyatama.ac.id/petunjuk-pendaftaran/</v>
      </c>
      <c r="BR3">
        <v>46249.705335648148</v>
      </c>
      <c r="BT3" t="s">
        <v>707</v>
      </c>
      <c r="BU3">
        <f>COUNTIFS(tblCrawl[Status Code],200,tblCrawl[Indexability],"Indexable")</f>
        <v>83</v>
      </c>
      <c r="BV3" s="9">
        <f>IFERROR(BU3/$BU$2,0)</f>
        <v>0.95402298850574707</v>
      </c>
      <c r="BZ3" t="str">
        <v>https://pmb.widyatama.ac.id/petunjuk-pendaftaran/</v>
      </c>
      <c r="CA3" t="str">
        <v>Indexable</v>
      </c>
      <c r="CB3">
        <v>0</v>
      </c>
      <c r="CC3" t="str">
        <v>Other</v>
      </c>
      <c r="CD3" t="str">
        <v>Main PMB Website</v>
      </c>
      <c r="CE3" t="str">
        <v>Yes</v>
      </c>
      <c r="CF3" t="str">
        <v>Campaign</v>
      </c>
      <c r="CG3">
        <f>COUNTIF(_xlfn.ANCHORARRAY(CC2),CF3)</f>
        <v>1</v>
      </c>
      <c r="CH3" s="9">
        <f t="shared" si="0"/>
        <v>1.1494252873563218E-2</v>
      </c>
      <c r="CI3" t="str">
        <v>https://pmb.widyatama.ac.id/jenjang-pendidikan/</v>
      </c>
      <c r="CK3" t="str">
        <v>jenjang-pendidikan</v>
      </c>
      <c r="CL3" t="str">
        <v>Online Registration System</v>
      </c>
      <c r="CM3">
        <f>COUNTIF(_xlfn.ANCHORARRAY($CD$2),CL3)</f>
        <v>10</v>
      </c>
      <c r="CO3" t="str">
        <v>aktivitas-civitas</v>
      </c>
      <c r="CP3">
        <f t="shared" ref="CP3:CP29" si="1">COUNTIF(_xlfn.ANCHORARRAY($CK$2),CO3)</f>
        <v>3</v>
      </c>
      <c r="CQ3" t="str" cm="1">
        <f t="array" ref="CQ3">_xlfn.LET(
_xlpm.s,LOWER(CO3),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Campus Life</v>
      </c>
      <c r="CS3" t="str">
        <v>Campus Life</v>
      </c>
      <c r="CT3">
        <f t="shared" ref="CT3:CT10" si="2">SUMIF($CQ$2:$CQ$100,CS3,$CP$2:$CP$100)</f>
        <v>7</v>
      </c>
      <c r="CU3" s="9">
        <f t="shared" ref="CU3:CU10" si="3">IFERROR(CT3/SUM($CT$2:$CT$20),0)</f>
        <v>0.17948717948717949</v>
      </c>
      <c r="CV3" t="str">
        <v>Admission</v>
      </c>
      <c r="CW3" t="str">
        <v>Campaign</v>
      </c>
      <c r="CX3">
        <f t="shared" ref="CX3:CX14" si="4">COUNTIF(_xlfn.ANCHORARRAY($CV$2),CW3)</f>
        <v>1</v>
      </c>
      <c r="CY3" s="9">
        <f t="shared" ref="CY3:CY14" si="5">IFERROR(CX3/ROWS(_xlfn.ANCHORARRAY($CV$2)),0)</f>
        <v>1.1494252873563218E-2</v>
      </c>
      <c r="DA3" t="str">
        <v>https://pmb.widyatama.ac.id/category/science-and-technology/</v>
      </c>
      <c r="DB3" t="str">
        <v>Main PMB Website</v>
      </c>
      <c r="DC3" t="str">
        <v>Indexable</v>
      </c>
      <c r="DD3" t="str">
        <v>category</v>
      </c>
      <c r="DE3" t="str">
        <v>science-and-technology</v>
      </c>
      <c r="DF3" t="str">
        <v>Content Archive</v>
      </c>
      <c r="DG3" t="str">
        <v>Admission</v>
      </c>
      <c r="DI3" t="str">
        <v>Campaign</v>
      </c>
      <c r="DJ3">
        <f t="shared" ref="DJ3:DJ14" si="6">COUNTIF(_xlfn.ANCHORARRAY($DG$2),DI3)</f>
        <v>1</v>
      </c>
      <c r="DK3" s="9">
        <f t="shared" ref="DK3:DK14" si="7">IFERROR(DJ3/ROWS(_xlfn.ANCHORARRAY($DG$2)),0)</f>
        <v>1.1494252873563218E-2</v>
      </c>
      <c r="DM3" t="str">
        <v>https://pmb.widyatama.ac.id/2025/09/19/</v>
      </c>
      <c r="DN3" t="str">
        <v>Main PMB Website</v>
      </c>
      <c r="DO3" t="str">
        <v>Non-Indexable</v>
      </c>
      <c r="DQ3" t="str">
        <v>Needs Manual Review</v>
      </c>
      <c r="DU3" s="9"/>
      <c r="DV3" t="str">
        <v>Core PMB Website</v>
      </c>
      <c r="DW3" t="str">
        <v>Yes</v>
      </c>
      <c r="DX3" t="str">
        <v>Core PMB Website</v>
      </c>
      <c r="DY3">
        <f t="shared" ref="DY3:DY4" si="8">COUNTIF(_xlfn.ANCHORARRAY($DV$2),DX3)</f>
        <v>66</v>
      </c>
      <c r="DZ3" s="9">
        <f t="shared" ref="DZ3:DZ4" si="9">IFERROR(DY3/ROWS(_xlfn.ANCHORARRAY($DV$2)),0)</f>
        <v>0.75862068965517238</v>
      </c>
      <c r="EA3" t="str">
        <v>P1 - Critical</v>
      </c>
      <c r="EC3" t="str">
        <v>P2 - High</v>
      </c>
      <c r="ED3">
        <f t="shared" ref="ED3:ED5" si="10">COUNTIF(_xlfn.ANCHORARRAY($EA$2),EC3)</f>
        <v>11</v>
      </c>
      <c r="EE3" s="9">
        <f t="shared" ref="EE3:EE4" si="11">IFERROR(ED3/ROWS(_xlfn.ANCHORARRAY($EA$2)),0)</f>
        <v>0.12643678160919541</v>
      </c>
    </row>
    <row r="4" spans="1:135">
      <c r="A4" t="str">
        <v>https://pmb.widyatama.ac.id/jenjang-pendidikan/</v>
      </c>
      <c r="B4" t="str">
        <v>text/html; charset=UTF-8</v>
      </c>
      <c r="C4">
        <v>200</v>
      </c>
      <c r="D4">
        <v>0</v>
      </c>
      <c r="E4" t="str">
        <v>Indexable</v>
      </c>
      <c r="F4">
        <v>0</v>
      </c>
      <c r="G4" t="str">
        <v>Jenjang Pendidikan - PMB UTama</v>
      </c>
      <c r="H4">
        <v>30</v>
      </c>
      <c r="I4">
        <v>303</v>
      </c>
      <c r="J4">
        <v>0</v>
      </c>
      <c r="K4">
        <v>0</v>
      </c>
      <c r="L4">
        <v>0</v>
      </c>
      <c r="M4">
        <v>0</v>
      </c>
      <c r="N4">
        <v>0</v>
      </c>
      <c r="O4" t="str">
        <v>Jenjang Pendidikan Universitas Widyatama: Diploma, Sarjana, Pascasarjana, dan Doktoral</v>
      </c>
      <c r="P4">
        <v>86</v>
      </c>
      <c r="Q4">
        <v>0</v>
      </c>
      <c r="R4">
        <v>0</v>
      </c>
      <c r="S4" t="str">
        <v>Konsultasi singkat untuk tahu jenjang yang paling sesuai.</v>
      </c>
      <c r="T4">
        <v>57</v>
      </c>
      <c r="U4" t="str">
        <v>Mana Jenjang yang Cocok Buatmu?</v>
      </c>
      <c r="V4">
        <v>31</v>
      </c>
      <c r="W4" t="str">
        <v>index, follow, max-image-preview:large, max-snippet:-1, max-video-preview:-1</v>
      </c>
      <c r="X4">
        <v>0</v>
      </c>
      <c r="Y4">
        <v>0</v>
      </c>
      <c r="Z4" t="str">
        <v>https://pmb.widyatama.ac.id/jenjang-pendidikan/</v>
      </c>
      <c r="AA4">
        <v>0</v>
      </c>
      <c r="AB4">
        <v>0</v>
      </c>
      <c r="AC4">
        <v>0</v>
      </c>
      <c r="AD4">
        <v>0</v>
      </c>
      <c r="AE4">
        <v>0</v>
      </c>
      <c r="AF4">
        <v>215138</v>
      </c>
      <c r="AG4">
        <v>46196</v>
      </c>
      <c r="AH4">
        <v>2434454</v>
      </c>
      <c r="AI4">
        <v>863026</v>
      </c>
      <c r="AJ4" t="str">
        <v>F</v>
      </c>
      <c r="AK4">
        <v>1532</v>
      </c>
      <c r="AL4">
        <v>289</v>
      </c>
      <c r="AM4">
        <v>5301</v>
      </c>
      <c r="AN4">
        <v>10221</v>
      </c>
      <c r="AO4" t="str">
        <v>Very Hard</v>
      </c>
      <c r="AP4">
        <v>4366</v>
      </c>
      <c r="AQ4">
        <v>1</v>
      </c>
      <c r="AR4">
        <v>1</v>
      </c>
      <c r="AS4">
        <v>0</v>
      </c>
      <c r="AT4">
        <v>332</v>
      </c>
      <c r="AU4">
        <v>77</v>
      </c>
      <c r="AV4">
        <v>76</v>
      </c>
      <c r="AW4">
        <v>88510</v>
      </c>
      <c r="AX4">
        <v>165</v>
      </c>
      <c r="AY4">
        <v>54</v>
      </c>
      <c r="AZ4">
        <v>0</v>
      </c>
      <c r="BA4">
        <v>23</v>
      </c>
      <c r="BB4">
        <v>13</v>
      </c>
      <c r="BC4">
        <v>8</v>
      </c>
      <c r="BD4">
        <v>0</v>
      </c>
      <c r="BE4">
        <v>0</v>
      </c>
      <c r="BF4">
        <v>0</v>
      </c>
      <c r="BG4">
        <v>0</v>
      </c>
      <c r="BH4" t="str">
        <v>fe78e3bec59564785a59504aa8a6fc32</v>
      </c>
      <c r="BI4" t="str">
        <v>0.141</v>
      </c>
      <c r="BJ4" t="str">
        <v>Saturday, 15-Aug-2026 09:55:44 GMT</v>
      </c>
      <c r="BK4">
        <v>0</v>
      </c>
      <c r="BL4">
        <v>0</v>
      </c>
      <c r="BM4">
        <v>0</v>
      </c>
      <c r="BN4" t="str">
        <v>en-US</v>
      </c>
      <c r="BO4" t="str">
        <v>2.0</v>
      </c>
      <c r="BP4">
        <v>0</v>
      </c>
      <c r="BQ4" t="str">
        <v>https://pmb.widyatama.ac.id/jenjang-pendidikan/</v>
      </c>
      <c r="BR4">
        <v>46249.705358796295</v>
      </c>
      <c r="BT4" t="s">
        <v>708</v>
      </c>
      <c r="BU4">
        <f>COUNTIFS(tblCrawl[Status Code],200,tblCrawl[Indexability],"Non-Indexable")</f>
        <v>4</v>
      </c>
      <c r="BV4" s="9">
        <f>IFERROR(BU4/$BU$2,0)</f>
        <v>4.5977011494252873E-2</v>
      </c>
      <c r="BZ4" t="str">
        <v>https://pmb.widyatama.ac.id/jenjang-pendidikan/</v>
      </c>
      <c r="CA4" t="str">
        <v>Indexable</v>
      </c>
      <c r="CB4">
        <v>0</v>
      </c>
      <c r="CC4" t="str">
        <v>Other</v>
      </c>
      <c r="CD4" t="str">
        <v>Main PMB Website</v>
      </c>
      <c r="CE4" t="str">
        <v>Yes</v>
      </c>
      <c r="CF4" t="str">
        <v>Homepage</v>
      </c>
      <c r="CG4">
        <f>COUNTIF(_xlfn.ANCHORARRAY(CC2),CF4)</f>
        <v>1</v>
      </c>
      <c r="CH4" s="9">
        <f t="shared" si="0"/>
        <v>1.1494252873563218E-2</v>
      </c>
      <c r="CI4" t="str">
        <v>https://pmb.widyatama.ac.id/privacy-policy/</v>
      </c>
      <c r="CK4" t="str">
        <v>privacy-policy</v>
      </c>
      <c r="CO4" t="str">
        <v>apresiasi-prestasi-mahasiswa</v>
      </c>
      <c r="CP4">
        <f t="shared" si="1"/>
        <v>1</v>
      </c>
      <c r="CQ4" t="str" cm="1">
        <f t="array" ref="CQ4">_xlfn.LET(
_xlpm.s,LOWER(CO4),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Campus Life</v>
      </c>
      <c r="CS4" t="str">
        <v>Content</v>
      </c>
      <c r="CT4">
        <f t="shared" si="2"/>
        <v>1</v>
      </c>
      <c r="CU4" s="9">
        <f t="shared" si="3"/>
        <v>2.564102564102564E-2</v>
      </c>
      <c r="CV4" t="str">
        <v>Information</v>
      </c>
      <c r="CW4" t="str">
        <v>Campus Life</v>
      </c>
      <c r="CX4">
        <f t="shared" si="4"/>
        <v>7</v>
      </c>
      <c r="CY4" s="9">
        <f t="shared" si="5"/>
        <v>8.0459770114942528E-2</v>
      </c>
      <c r="DA4" t="str">
        <v>https://pmb.widyatama.ac.id/category/medicine/</v>
      </c>
      <c r="DB4" t="str">
        <v>Main PMB Website</v>
      </c>
      <c r="DC4" t="str">
        <v>Indexable</v>
      </c>
      <c r="DD4" t="str">
        <v>category</v>
      </c>
      <c r="DE4" t="str">
        <v>medicine</v>
      </c>
      <c r="DF4" t="str">
        <v>Content Archive</v>
      </c>
      <c r="DG4" t="str">
        <v>Information</v>
      </c>
      <c r="DI4" t="str">
        <v>Campus Life</v>
      </c>
      <c r="DJ4">
        <f t="shared" si="6"/>
        <v>7</v>
      </c>
      <c r="DK4" s="9">
        <f t="shared" si="7"/>
        <v>8.0459770114942528E-2</v>
      </c>
      <c r="DM4" t="str">
        <v>https://pmb.widyatama.ac.id/democracy-in-indonesia-why-it-feels-weak-at-the-grassroots-4/</v>
      </c>
      <c r="DN4" t="str">
        <v>Main PMB Website</v>
      </c>
      <c r="DO4" t="str">
        <v>Indexable</v>
      </c>
      <c r="DQ4" t="str">
        <v>Needs Manual Review</v>
      </c>
      <c r="DU4" s="9"/>
      <c r="DV4" t="str">
        <v>Core PMB Website</v>
      </c>
      <c r="DW4" t="str">
        <v>Yes</v>
      </c>
      <c r="DX4" t="str">
        <v>Registration System</v>
      </c>
      <c r="DY4">
        <f t="shared" si="8"/>
        <v>10</v>
      </c>
      <c r="DZ4" s="9">
        <f t="shared" si="9"/>
        <v>0.11494252873563218</v>
      </c>
      <c r="EA4" t="str">
        <v>P2 - High</v>
      </c>
      <c r="EC4" t="str">
        <v>P3 - Standard</v>
      </c>
      <c r="ED4">
        <f t="shared" si="10"/>
        <v>6</v>
      </c>
      <c r="EE4" s="9">
        <f t="shared" si="11"/>
        <v>6.8965517241379309E-2</v>
      </c>
    </row>
    <row r="5" spans="1:135">
      <c r="A5" t="str">
        <v>https://pmb.widyatama.ac.id/privacy-policy/</v>
      </c>
      <c r="B5" t="str">
        <v>text/html; charset=UTF-8</v>
      </c>
      <c r="C5">
        <v>200</v>
      </c>
      <c r="D5">
        <v>0</v>
      </c>
      <c r="E5" t="str">
        <v>Indexable</v>
      </c>
      <c r="F5">
        <v>0</v>
      </c>
      <c r="G5" t="str">
        <v>Privacy Policy - PMB UTama</v>
      </c>
      <c r="H5">
        <v>26</v>
      </c>
      <c r="I5">
        <v>251</v>
      </c>
      <c r="J5">
        <v>0</v>
      </c>
      <c r="K5">
        <v>0</v>
      </c>
      <c r="L5">
        <v>0</v>
      </c>
      <c r="M5">
        <v>0</v>
      </c>
      <c r="N5">
        <v>0</v>
      </c>
      <c r="O5" t="str">
        <v>Kebijakan Privasi Website PMB Universitas Widyatama</v>
      </c>
      <c r="P5">
        <v>51</v>
      </c>
      <c r="Q5">
        <v>0</v>
      </c>
      <c r="R5">
        <v>0</v>
      </c>
      <c r="S5" t="str">
        <v>Universitas Widyatama memproses data secara sah, terbatas, dan bertanggung jawab.</v>
      </c>
      <c r="T5">
        <v>81</v>
      </c>
      <c r="U5" t="str">
        <v>Empat Hal yang Perlu Anda Ketahui</v>
      </c>
      <c r="V5">
        <v>33</v>
      </c>
      <c r="W5" t="str">
        <v>index, follow, max-image-preview:large, max-snippet:-1, max-video-preview:-1</v>
      </c>
      <c r="X5">
        <v>0</v>
      </c>
      <c r="Y5">
        <v>0</v>
      </c>
      <c r="Z5" t="str">
        <v>https://pmb.widyatama.ac.id/privacy-policy/</v>
      </c>
      <c r="AA5">
        <v>0</v>
      </c>
      <c r="AB5">
        <v>0</v>
      </c>
      <c r="AC5">
        <v>0</v>
      </c>
      <c r="AD5">
        <v>0</v>
      </c>
      <c r="AE5">
        <v>0</v>
      </c>
      <c r="AF5">
        <v>178267</v>
      </c>
      <c r="AG5">
        <v>41064</v>
      </c>
      <c r="AH5">
        <v>2369801</v>
      </c>
      <c r="AI5">
        <v>840106</v>
      </c>
      <c r="AJ5" t="str">
        <v>E</v>
      </c>
      <c r="AK5">
        <v>1700</v>
      </c>
      <c r="AL5">
        <v>287</v>
      </c>
      <c r="AM5">
        <v>5923</v>
      </c>
      <c r="AN5" t="str">
        <v>0.000</v>
      </c>
      <c r="AO5" t="str">
        <v>Very Hard</v>
      </c>
      <c r="AP5">
        <v>5997</v>
      </c>
      <c r="AQ5">
        <v>1</v>
      </c>
      <c r="AR5">
        <v>1</v>
      </c>
      <c r="AS5">
        <v>0</v>
      </c>
      <c r="AT5">
        <v>107</v>
      </c>
      <c r="AU5">
        <v>77</v>
      </c>
      <c r="AV5">
        <v>2</v>
      </c>
      <c r="AW5">
        <v>88510</v>
      </c>
      <c r="AX5">
        <v>134</v>
      </c>
      <c r="AY5">
        <v>29</v>
      </c>
      <c r="AZ5">
        <v>0</v>
      </c>
      <c r="BA5">
        <v>14</v>
      </c>
      <c r="BB5">
        <v>8</v>
      </c>
      <c r="BC5">
        <v>3</v>
      </c>
      <c r="BD5">
        <v>0</v>
      </c>
      <c r="BE5">
        <v>0</v>
      </c>
      <c r="BF5">
        <v>0</v>
      </c>
      <c r="BG5">
        <v>0</v>
      </c>
      <c r="BH5" t="str">
        <v>401e2e4a0ccb7c9dda5bf523b930781a</v>
      </c>
      <c r="BI5">
        <v>3159</v>
      </c>
      <c r="BJ5" t="str">
        <v>Saturday, 15-Aug-2026 09:55:46 GMT</v>
      </c>
      <c r="BK5">
        <v>0</v>
      </c>
      <c r="BL5">
        <v>0</v>
      </c>
      <c r="BM5">
        <v>0</v>
      </c>
      <c r="BN5" t="str">
        <v>en-US</v>
      </c>
      <c r="BO5" t="str">
        <v>2.0</v>
      </c>
      <c r="BP5">
        <v>0</v>
      </c>
      <c r="BQ5" t="str">
        <v>https://pmb.widyatama.ac.id/privacy-policy/</v>
      </c>
      <c r="BR5">
        <v>46249.705347222225</v>
      </c>
      <c r="BZ5" t="str">
        <v>https://pmb.widyatama.ac.id/privacy-policy/</v>
      </c>
      <c r="CA5" t="str">
        <v>Indexable</v>
      </c>
      <c r="CB5">
        <v>0</v>
      </c>
      <c r="CC5" t="str">
        <v>Other</v>
      </c>
      <c r="CD5" t="str">
        <v>Main PMB Website</v>
      </c>
      <c r="CE5" t="str">
        <v>Yes</v>
      </c>
      <c r="CF5" t="str">
        <v>Other</v>
      </c>
      <c r="CG5">
        <f>COUNTIF(_xlfn.ANCHORARRAY(CC2),CF5)</f>
        <v>39</v>
      </c>
      <c r="CH5" s="9">
        <f t="shared" si="0"/>
        <v>0.44827586206896552</v>
      </c>
      <c r="CI5" t="str">
        <v>https://pmb.widyatama.ac.id/cookie-policy/</v>
      </c>
      <c r="CK5" t="str">
        <v>cookie-policy</v>
      </c>
      <c r="CM5">
        <f>SUM(CM2:CM3)</f>
        <v>87</v>
      </c>
      <c r="CO5" t="str">
        <v>asuransi-mahasiswa</v>
      </c>
      <c r="CP5">
        <f t="shared" si="1"/>
        <v>1</v>
      </c>
      <c r="CQ5" t="str" cm="1">
        <f t="array" ref="CQ5">_xlfn.LET(
_xlpm.s,LOWER(CO5),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Campus Life</v>
      </c>
      <c r="CS5" t="str">
        <v>Content Review</v>
      </c>
      <c r="CT5">
        <f t="shared" si="2"/>
        <v>11</v>
      </c>
      <c r="CU5" s="9">
        <f t="shared" si="3"/>
        <v>0.28205128205128205</v>
      </c>
      <c r="CV5" t="str">
        <v>Policy</v>
      </c>
      <c r="CW5" t="str">
        <v>Content</v>
      </c>
      <c r="CX5">
        <f t="shared" si="4"/>
        <v>1</v>
      </c>
      <c r="CY5" s="9">
        <f t="shared" si="5"/>
        <v>1.1494252873563218E-2</v>
      </c>
      <c r="DA5" t="str">
        <v>https://pmb.widyatama.ac.id/category/law-and-policy/</v>
      </c>
      <c r="DB5" t="str">
        <v>Main PMB Website</v>
      </c>
      <c r="DC5" t="str">
        <v>Indexable</v>
      </c>
      <c r="DD5" t="str">
        <v>category</v>
      </c>
      <c r="DE5" t="str">
        <v>law-and-policy</v>
      </c>
      <c r="DF5" t="str">
        <v>Content Archive</v>
      </c>
      <c r="DG5" t="str">
        <v>Policy</v>
      </c>
      <c r="DI5" t="str">
        <v>Content</v>
      </c>
      <c r="DJ5">
        <f t="shared" si="6"/>
        <v>1</v>
      </c>
      <c r="DK5" s="9">
        <f t="shared" si="7"/>
        <v>1.1494252873563218E-2</v>
      </c>
      <c r="DM5" t="str">
        <v>https://pmb.widyatama.ac.id/the-hidden-dangers-of-sugar-3/</v>
      </c>
      <c r="DN5" t="str">
        <v>Main PMB Website</v>
      </c>
      <c r="DO5" t="str">
        <v>Indexable</v>
      </c>
      <c r="DQ5" t="str">
        <v>Needs Manual Review</v>
      </c>
      <c r="DU5" s="9"/>
      <c r="DV5" t="str">
        <v>Core PMB Website</v>
      </c>
      <c r="DW5" t="str">
        <v>Yes</v>
      </c>
      <c r="EA5" t="str">
        <v>P3 - Standard</v>
      </c>
      <c r="EC5" t="str">
        <v>P4 - Content Audit</v>
      </c>
      <c r="ED5">
        <f t="shared" si="10"/>
        <v>11</v>
      </c>
      <c r="EE5" s="9">
        <f>IFERROR(ED5/ROWS(_xlfn.ANCHORARRAY($EA$2)),0)</f>
        <v>0.12643678160919541</v>
      </c>
    </row>
    <row r="6" spans="1:135">
      <c r="A6" t="str">
        <v>https://pmb.widyatama.ac.id/cookie-policy/</v>
      </c>
      <c r="B6" t="str">
        <v>text/html; charset=UTF-8</v>
      </c>
      <c r="C6">
        <v>200</v>
      </c>
      <c r="D6">
        <v>0</v>
      </c>
      <c r="E6" t="str">
        <v>Indexable</v>
      </c>
      <c r="F6">
        <v>0</v>
      </c>
      <c r="G6" t="str">
        <v>cookie policy - PMB UTama</v>
      </c>
      <c r="H6">
        <v>25</v>
      </c>
      <c r="I6">
        <v>243</v>
      </c>
      <c r="J6">
        <v>0</v>
      </c>
      <c r="K6">
        <v>0</v>
      </c>
      <c r="L6">
        <v>0</v>
      </c>
      <c r="M6">
        <v>0</v>
      </c>
      <c r="N6">
        <v>0</v>
      </c>
      <c r="O6" t="str">
        <v>Kebijakan Cookie Website PMB Universitas Widyatama</v>
      </c>
      <c r="P6">
        <v>50</v>
      </c>
      <c r="Q6">
        <v>0</v>
      </c>
      <c r="R6">
        <v>0</v>
      </c>
      <c r="S6" t="str">
        <v>Cookies membantu website bekerja, tetapi pengguna tetap perlu tahu dan tetap punya kendali.</v>
      </c>
      <c r="T6">
        <v>91</v>
      </c>
      <c r="U6" t="str">
        <v>Empat Hal yang Perlu Anda Ketahui</v>
      </c>
      <c r="V6">
        <v>33</v>
      </c>
      <c r="W6" t="str">
        <v>index, follow, max-image-preview:large, max-snippet:-1, max-video-preview:-1</v>
      </c>
      <c r="X6">
        <v>0</v>
      </c>
      <c r="Y6">
        <v>0</v>
      </c>
      <c r="Z6" t="str">
        <v>https://pmb.widyatama.ac.id/cookie-policy/</v>
      </c>
      <c r="AA6">
        <v>0</v>
      </c>
      <c r="AB6">
        <v>0</v>
      </c>
      <c r="AC6">
        <v>0</v>
      </c>
      <c r="AD6">
        <v>0</v>
      </c>
      <c r="AE6">
        <v>0</v>
      </c>
      <c r="AF6">
        <v>176891</v>
      </c>
      <c r="AG6">
        <v>40040</v>
      </c>
      <c r="AH6">
        <v>2371646</v>
      </c>
      <c r="AI6">
        <v>840760</v>
      </c>
      <c r="AJ6" t="str">
        <v>E</v>
      </c>
      <c r="AK6">
        <v>1278</v>
      </c>
      <c r="AL6">
        <v>220</v>
      </c>
      <c r="AM6">
        <v>5809</v>
      </c>
      <c r="AN6" t="str">
        <v>0.000</v>
      </c>
      <c r="AO6" t="str">
        <v>Very Hard</v>
      </c>
      <c r="AP6">
        <v>4702</v>
      </c>
      <c r="AQ6">
        <v>1</v>
      </c>
      <c r="AR6">
        <v>1</v>
      </c>
      <c r="AS6">
        <v>0</v>
      </c>
      <c r="AT6">
        <v>99</v>
      </c>
      <c r="AU6">
        <v>77</v>
      </c>
      <c r="AV6">
        <v>1</v>
      </c>
      <c r="AW6">
        <v>88510</v>
      </c>
      <c r="AX6">
        <v>136</v>
      </c>
      <c r="AY6">
        <v>29</v>
      </c>
      <c r="AZ6">
        <v>1</v>
      </c>
      <c r="BA6">
        <v>12</v>
      </c>
      <c r="BB6">
        <v>8</v>
      </c>
      <c r="BC6">
        <v>3</v>
      </c>
      <c r="BD6">
        <v>0</v>
      </c>
      <c r="BE6">
        <v>0</v>
      </c>
      <c r="BF6">
        <v>0</v>
      </c>
      <c r="BG6">
        <v>0</v>
      </c>
      <c r="BH6" t="str">
        <v>d062b2afab0c590f5e86ae2e3944feba</v>
      </c>
      <c r="BI6" t="str">
        <v>0.111</v>
      </c>
      <c r="BJ6" t="str">
        <v>Saturday, 15-Aug-2026 09:55:52 GMT</v>
      </c>
      <c r="BK6">
        <v>0</v>
      </c>
      <c r="BL6">
        <v>0</v>
      </c>
      <c r="BM6">
        <v>0</v>
      </c>
      <c r="BN6" t="str">
        <v>en-US</v>
      </c>
      <c r="BO6" t="str">
        <v>None</v>
      </c>
      <c r="BP6">
        <v>0</v>
      </c>
      <c r="BQ6" t="str">
        <v>https://pmb.widyatama.ac.id/cookie-policy/</v>
      </c>
      <c r="BR6">
        <v>46249.705451388887</v>
      </c>
      <c r="BZ6" t="str">
        <v>https://pmb.widyatama.ac.id/cookie-policy/</v>
      </c>
      <c r="CA6" t="str">
        <v>Indexable</v>
      </c>
      <c r="CB6">
        <v>0</v>
      </c>
      <c r="CC6" t="str">
        <v>Other</v>
      </c>
      <c r="CD6" t="str">
        <v>Main PMB Website</v>
      </c>
      <c r="CE6" t="str">
        <v>Yes</v>
      </c>
      <c r="CF6" t="str">
        <v>Pricing</v>
      </c>
      <c r="CG6">
        <f>COUNTIF(_xlfn.ANCHORARRAY(CC2),CF6)</f>
        <v>4</v>
      </c>
      <c r="CH6" s="9">
        <f t="shared" si="0"/>
        <v>4.5977011494252873E-2</v>
      </c>
      <c r="CI6" t="str">
        <v>https://pmb.widyatama.ac.id/mahasiswa-internasional/</v>
      </c>
      <c r="CK6" t="str">
        <v>mahasiswa-internasional</v>
      </c>
      <c r="CO6" t="str">
        <v>auth</v>
      </c>
      <c r="CP6">
        <f t="shared" si="1"/>
        <v>2</v>
      </c>
      <c r="CQ6" t="str" cm="1">
        <f t="array" ref="CQ6">_xlfn.LET(
_xlpm.s,LOWER(CO6),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Registration System</v>
      </c>
      <c r="CS6" t="str">
        <v>Information</v>
      </c>
      <c r="CT6">
        <f t="shared" si="2"/>
        <v>2</v>
      </c>
      <c r="CU6" s="9">
        <f t="shared" si="3"/>
        <v>5.128205128205128E-2</v>
      </c>
      <c r="CV6" t="str">
        <v>Policy</v>
      </c>
      <c r="CW6" t="str">
        <v>Content Review</v>
      </c>
      <c r="CX6">
        <f t="shared" si="4"/>
        <v>11</v>
      </c>
      <c r="CY6" s="9">
        <f t="shared" si="5"/>
        <v>0.12643678160919541</v>
      </c>
      <c r="DG6" t="str">
        <v>Policy</v>
      </c>
      <c r="DI6" t="str">
        <v>Content Archive</v>
      </c>
      <c r="DJ6">
        <f t="shared" si="6"/>
        <v>3</v>
      </c>
      <c r="DK6" s="9">
        <f t="shared" si="7"/>
        <v>3.4482758620689655E-2</v>
      </c>
      <c r="DM6" t="str">
        <v>https://pmb.widyatama.ac.id/democracy-in-indonesia-why-it-feels-weak-at-the-grassroots-2/</v>
      </c>
      <c r="DN6" t="str">
        <v>Main PMB Website</v>
      </c>
      <c r="DO6" t="str">
        <v>Indexable</v>
      </c>
      <c r="DQ6" t="str">
        <v>Needs Manual Review</v>
      </c>
      <c r="DU6" s="9"/>
      <c r="DV6" t="str">
        <v>Core PMB Website</v>
      </c>
      <c r="DW6" t="str">
        <v>Yes</v>
      </c>
      <c r="EA6" t="str">
        <v>P3 - Standard</v>
      </c>
    </row>
    <row r="7" spans="1:135">
      <c r="A7" t="str">
        <v>https://pmb.widyatama.ac.id/biaya-kuliah-pascasarjana/</v>
      </c>
      <c r="B7" t="str">
        <v>text/html; charset=UTF-8</v>
      </c>
      <c r="C7">
        <v>200</v>
      </c>
      <c r="D7">
        <v>0</v>
      </c>
      <c r="E7" t="str">
        <v>Indexable</v>
      </c>
      <c r="F7">
        <v>0</v>
      </c>
      <c r="G7" t="str">
        <v>Biaya Kuliah Pascasarjana - PMB UTama</v>
      </c>
      <c r="H7">
        <v>37</v>
      </c>
      <c r="I7">
        <v>366</v>
      </c>
      <c r="J7">
        <v>0</v>
      </c>
      <c r="K7">
        <v>0</v>
      </c>
      <c r="L7">
        <v>0</v>
      </c>
      <c r="M7">
        <v>0</v>
      </c>
      <c r="N7">
        <v>0</v>
      </c>
      <c r="O7" t="str">
        <v>Biaya Kuliah Pascasarjana Widyatama Bandung 2026/2027</v>
      </c>
      <c r="P7">
        <v>53</v>
      </c>
      <c r="Q7">
        <v>0</v>
      </c>
      <c r="R7">
        <v>0</v>
      </c>
      <c r="S7" t="str">
        <v>Biaya Pascasarjana tidak selalu dibaca dengan cara yang sama.</v>
      </c>
      <c r="T7">
        <v>61</v>
      </c>
      <c r="U7" t="str">
        <v>Simulasi Biaya Pascasarjana</v>
      </c>
      <c r="V7">
        <v>27</v>
      </c>
      <c r="W7" t="str">
        <v>index, follow, max-image-preview:large, max-snippet:-1, max-video-preview:-1</v>
      </c>
      <c r="X7">
        <v>0</v>
      </c>
      <c r="Y7">
        <v>0</v>
      </c>
      <c r="Z7" t="str">
        <v>https://pmb.widyatama.ac.id/biaya-kuliah-pascasarjana/</v>
      </c>
      <c r="AA7">
        <v>0</v>
      </c>
      <c r="AB7">
        <v>0</v>
      </c>
      <c r="AC7">
        <v>0</v>
      </c>
      <c r="AD7">
        <v>0</v>
      </c>
      <c r="AE7">
        <v>0</v>
      </c>
      <c r="AF7">
        <v>223170</v>
      </c>
      <c r="AG7">
        <v>47024</v>
      </c>
      <c r="AH7">
        <v>2345517</v>
      </c>
      <c r="AI7">
        <v>831498</v>
      </c>
      <c r="AJ7" t="str">
        <v>E</v>
      </c>
      <c r="AK7">
        <v>1306</v>
      </c>
      <c r="AL7">
        <v>237</v>
      </c>
      <c r="AM7">
        <v>5511</v>
      </c>
      <c r="AN7">
        <v>23038</v>
      </c>
      <c r="AO7" t="str">
        <v>Very Hard</v>
      </c>
      <c r="AP7">
        <v>3700</v>
      </c>
      <c r="AQ7">
        <v>1</v>
      </c>
      <c r="AR7">
        <v>1</v>
      </c>
      <c r="AS7">
        <v>0</v>
      </c>
      <c r="AT7">
        <v>333</v>
      </c>
      <c r="AU7">
        <v>77</v>
      </c>
      <c r="AV7">
        <v>76</v>
      </c>
      <c r="AW7">
        <v>88510</v>
      </c>
      <c r="AX7">
        <v>129</v>
      </c>
      <c r="AY7">
        <v>29</v>
      </c>
      <c r="AZ7">
        <v>1</v>
      </c>
      <c r="BA7">
        <v>16</v>
      </c>
      <c r="BB7">
        <v>8</v>
      </c>
      <c r="BC7">
        <v>3</v>
      </c>
      <c r="BD7">
        <v>0</v>
      </c>
      <c r="BE7">
        <v>0</v>
      </c>
      <c r="BF7">
        <v>0</v>
      </c>
      <c r="BG7">
        <v>0</v>
      </c>
      <c r="BH7" t="str">
        <v>3a62e661b9c165c6386f7c8bfde05de8</v>
      </c>
      <c r="BI7" t="str">
        <v>0.094</v>
      </c>
      <c r="BJ7" t="str">
        <v>Saturday, 15-Aug-2026 09:55:53 GMT</v>
      </c>
      <c r="BK7">
        <v>0</v>
      </c>
      <c r="BL7">
        <v>0</v>
      </c>
      <c r="BM7">
        <v>0</v>
      </c>
      <c r="BN7" t="str">
        <v>en-US</v>
      </c>
      <c r="BO7" t="str">
        <v>None</v>
      </c>
      <c r="BP7">
        <v>0</v>
      </c>
      <c r="BQ7" t="str">
        <v>https://pmb.widyatama.ac.id/biaya-kuliah-pascasarjana/</v>
      </c>
      <c r="BR7">
        <v>46249.705462962964</v>
      </c>
      <c r="BZ7" t="str">
        <v>https://pmb.widyatama.ac.id/biaya-kuliah-pascasarjana/</v>
      </c>
      <c r="CA7" t="str">
        <v>Indexable</v>
      </c>
      <c r="CB7">
        <v>0</v>
      </c>
      <c r="CC7" t="str">
        <v>Pricing</v>
      </c>
      <c r="CD7" t="str">
        <v>Main PMB Website</v>
      </c>
      <c r="CE7" t="str">
        <v>Yes</v>
      </c>
      <c r="CF7" t="str">
        <v>Program</v>
      </c>
      <c r="CG7">
        <f>COUNTIF(_xlfn.ANCHORARRAY(CC2),CF7)</f>
        <v>29</v>
      </c>
      <c r="CH7" s="9">
        <f t="shared" si="0"/>
        <v>0.33333333333333331</v>
      </c>
      <c r="CI7" t="str">
        <v>https://pmb.widyatama.ac.id/output-lulusan/</v>
      </c>
      <c r="CK7" t="str">
        <v>output-lulusan</v>
      </c>
      <c r="CO7" t="str">
        <v>blog</v>
      </c>
      <c r="CP7">
        <f t="shared" si="1"/>
        <v>1</v>
      </c>
      <c r="CQ7" t="str" cm="1">
        <f t="array" ref="CQ7">_xlfn.LET(
_xlpm.s,LOWER(CO7),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v>
      </c>
      <c r="CS7" t="str">
        <v>International</v>
      </c>
      <c r="CT7">
        <f t="shared" si="2"/>
        <v>1</v>
      </c>
      <c r="CU7" s="9">
        <f t="shared" si="3"/>
        <v>2.564102564102564E-2</v>
      </c>
      <c r="CV7" t="str">
        <v>Pricing</v>
      </c>
      <c r="CW7" t="str">
        <v>Homepage</v>
      </c>
      <c r="CX7">
        <f t="shared" si="4"/>
        <v>1</v>
      </c>
      <c r="CY7" s="9">
        <f t="shared" si="5"/>
        <v>1.1494252873563218E-2</v>
      </c>
      <c r="DG7" t="str">
        <v>Pricing</v>
      </c>
      <c r="DI7" t="str">
        <v>Content Review</v>
      </c>
      <c r="DJ7">
        <f t="shared" si="6"/>
        <v>11</v>
      </c>
      <c r="DK7" s="9">
        <f t="shared" si="7"/>
        <v>0.12643678160919541</v>
      </c>
      <c r="DM7" t="str">
        <v>https://pmb.widyatama.ac.id/the-hidden-dangers-of-sugar-2/</v>
      </c>
      <c r="DN7" t="str">
        <v>Main PMB Website</v>
      </c>
      <c r="DO7" t="str">
        <v>Indexable</v>
      </c>
      <c r="DQ7" t="str">
        <v>Needs Manual Review</v>
      </c>
      <c r="DU7" s="9"/>
      <c r="DV7" t="str">
        <v>Core PMB Website</v>
      </c>
      <c r="DW7" t="str">
        <v>Yes</v>
      </c>
      <c r="EA7" t="str">
        <v>P1 - Critical</v>
      </c>
    </row>
    <row r="8" spans="1:135">
      <c r="A8" t="str">
        <v>https://pmb.widyatama.ac.id/mahasiswa-internasional/</v>
      </c>
      <c r="B8" t="str">
        <v>text/html; charset=UTF-8</v>
      </c>
      <c r="C8">
        <v>200</v>
      </c>
      <c r="D8">
        <v>0</v>
      </c>
      <c r="E8" t="str">
        <v>Indexable</v>
      </c>
      <c r="F8">
        <v>0</v>
      </c>
      <c r="G8" t="str">
        <v>Mahasiswa Internasional - PMB UTama</v>
      </c>
      <c r="H8">
        <v>35</v>
      </c>
      <c r="I8">
        <v>352</v>
      </c>
      <c r="J8">
        <v>0</v>
      </c>
      <c r="K8">
        <v>0</v>
      </c>
      <c r="L8">
        <v>0</v>
      </c>
      <c r="M8">
        <v>0</v>
      </c>
      <c r="N8">
        <v>0</v>
      </c>
      <c r="O8" t="str">
        <v>Mahasiswa Internasional Universitas Widyatama</v>
      </c>
      <c r="P8">
        <v>45</v>
      </c>
      <c r="Q8">
        <v>0</v>
      </c>
      <c r="R8">
        <v>0</v>
      </c>
      <c r="S8" t="str">
        <v>Siapkan dokumen akademik dan identitas sebelum memulai pendaftaran.</v>
      </c>
      <c r="T8">
        <v>67</v>
      </c>
      <c r="U8" t="str">
        <v>Apa yang Perlu Disiapkan Sebelum Mendaftar?</v>
      </c>
      <c r="V8">
        <v>43</v>
      </c>
      <c r="W8" t="str">
        <v>index, follow, max-image-preview:large, max-snippet:-1, max-video-preview:-1</v>
      </c>
      <c r="X8">
        <v>0</v>
      </c>
      <c r="Y8">
        <v>0</v>
      </c>
      <c r="Z8" t="str">
        <v>https://pmb.widyatama.ac.id/mahasiswa-internasional/</v>
      </c>
      <c r="AA8">
        <v>0</v>
      </c>
      <c r="AB8">
        <v>0</v>
      </c>
      <c r="AC8">
        <v>0</v>
      </c>
      <c r="AD8">
        <v>0</v>
      </c>
      <c r="AE8">
        <v>0</v>
      </c>
      <c r="AF8">
        <v>166543</v>
      </c>
      <c r="AG8">
        <v>37187</v>
      </c>
      <c r="AH8">
        <v>13809173</v>
      </c>
      <c r="AI8">
        <v>4895421</v>
      </c>
      <c r="AJ8" t="str">
        <v>F</v>
      </c>
      <c r="AK8">
        <v>668</v>
      </c>
      <c r="AL8">
        <v>142</v>
      </c>
      <c r="AM8">
        <v>4704</v>
      </c>
      <c r="AN8" t="str">
        <v>0.000</v>
      </c>
      <c r="AO8" t="str">
        <v>Very Hard</v>
      </c>
      <c r="AP8">
        <v>2946</v>
      </c>
      <c r="AQ8">
        <v>1</v>
      </c>
      <c r="AR8">
        <v>1</v>
      </c>
      <c r="AS8">
        <v>0</v>
      </c>
      <c r="AT8">
        <v>323</v>
      </c>
      <c r="AU8">
        <v>77</v>
      </c>
      <c r="AV8">
        <v>76</v>
      </c>
      <c r="AW8">
        <v>88510</v>
      </c>
      <c r="AX8">
        <v>132</v>
      </c>
      <c r="AY8">
        <v>31</v>
      </c>
      <c r="AZ8">
        <v>1</v>
      </c>
      <c r="BA8">
        <v>15</v>
      </c>
      <c r="BB8">
        <v>8</v>
      </c>
      <c r="BC8">
        <v>3</v>
      </c>
      <c r="BD8">
        <v>0</v>
      </c>
      <c r="BE8">
        <v>0</v>
      </c>
      <c r="BF8">
        <v>0</v>
      </c>
      <c r="BG8">
        <v>0</v>
      </c>
      <c r="BH8" t="str">
        <v>c5ae0eee17e720e69e88c30d34b9438b</v>
      </c>
      <c r="BI8" t="str">
        <v>0.101</v>
      </c>
      <c r="BJ8" t="str">
        <v>Saturday, 15-Aug-2026 09:55:58 GMT</v>
      </c>
      <c r="BK8">
        <v>0</v>
      </c>
      <c r="BL8">
        <v>0</v>
      </c>
      <c r="BM8">
        <v>0</v>
      </c>
      <c r="BN8" t="str">
        <v>en-US</v>
      </c>
      <c r="BO8" t="str">
        <v>None</v>
      </c>
      <c r="BP8">
        <v>0</v>
      </c>
      <c r="BQ8" t="str">
        <v>https://pmb.widyatama.ac.id/mahasiswa-internasional/</v>
      </c>
      <c r="BR8">
        <v>46249.705520833333</v>
      </c>
      <c r="BT8" t="s">
        <v>709</v>
      </c>
      <c r="BU8" t="s">
        <v>5</v>
      </c>
      <c r="BZ8" t="str">
        <v>https://pmb.widyatama.ac.id/mahasiswa-internasional/</v>
      </c>
      <c r="CA8" t="str">
        <v>Indexable</v>
      </c>
      <c r="CB8">
        <v>0</v>
      </c>
      <c r="CC8" t="str">
        <v>Other</v>
      </c>
      <c r="CD8" t="str">
        <v>Main PMB Website</v>
      </c>
      <c r="CE8" t="str">
        <v>Yes</v>
      </c>
      <c r="CF8" t="s">
        <v>711</v>
      </c>
      <c r="CG8">
        <f>SUM(CG2:CG7)</f>
        <v>87</v>
      </c>
      <c r="CH8" s="8">
        <f>SUM(CH2:CH7)</f>
        <v>1</v>
      </c>
      <c r="CI8" t="str">
        <v>https://pmb.widyatama.ac.id/blog/</v>
      </c>
      <c r="CK8" t="str">
        <v>blog</v>
      </c>
      <c r="CO8" t="str">
        <v>category</v>
      </c>
      <c r="CP8">
        <f t="shared" si="1"/>
        <v>3</v>
      </c>
      <c r="CQ8" t="str" cm="1">
        <f t="array" ref="CQ8">_xlfn.LET(
_xlpm.s,LOWER(CO8),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Other Review</v>
      </c>
      <c r="CS8" t="str">
        <v>Other Review</v>
      </c>
      <c r="CT8">
        <f t="shared" si="2"/>
        <v>4</v>
      </c>
      <c r="CU8" s="9">
        <f t="shared" si="3"/>
        <v>0.10256410256410256</v>
      </c>
      <c r="CV8" t="str">
        <v>International</v>
      </c>
      <c r="CW8" t="str">
        <v>Information</v>
      </c>
      <c r="CX8">
        <f t="shared" si="4"/>
        <v>2</v>
      </c>
      <c r="CY8" s="9">
        <f t="shared" si="5"/>
        <v>2.2988505747126436E-2</v>
      </c>
      <c r="DG8" t="str">
        <v>International</v>
      </c>
      <c r="DI8" t="str">
        <v>Homepage</v>
      </c>
      <c r="DJ8">
        <f t="shared" si="6"/>
        <v>1</v>
      </c>
      <c r="DK8" s="9">
        <f t="shared" si="7"/>
        <v>1.1494252873563218E-2</v>
      </c>
      <c r="DM8" t="str">
        <v>https://pmb.widyatama.ac.id/the-hidden-dangers-of-sugar/</v>
      </c>
      <c r="DN8" t="str">
        <v>Main PMB Website</v>
      </c>
      <c r="DO8" t="str">
        <v>Indexable</v>
      </c>
      <c r="DQ8" t="str">
        <v>Needs Manual Review</v>
      </c>
      <c r="DU8" s="9"/>
      <c r="DV8" t="str">
        <v>Core PMB Website</v>
      </c>
      <c r="DW8" t="str">
        <v>Yes</v>
      </c>
      <c r="EA8" t="str">
        <v>P2 - High</v>
      </c>
    </row>
    <row r="9" spans="1:135">
      <c r="A9" t="str">
        <v>https://pmb.widyatama.ac.id/output-lulusan/</v>
      </c>
      <c r="B9" t="str">
        <v>text/html; charset=UTF-8</v>
      </c>
      <c r="C9">
        <v>200</v>
      </c>
      <c r="D9">
        <v>0</v>
      </c>
      <c r="E9" t="str">
        <v>Indexable</v>
      </c>
      <c r="F9">
        <v>0</v>
      </c>
      <c r="G9" t="str">
        <v>Output Lulusan - PMB UTama</v>
      </c>
      <c r="H9">
        <v>26</v>
      </c>
      <c r="I9">
        <v>263</v>
      </c>
      <c r="J9">
        <v>0</v>
      </c>
      <c r="K9">
        <v>0</v>
      </c>
      <c r="L9">
        <v>0</v>
      </c>
      <c r="M9">
        <v>0</v>
      </c>
      <c r="N9">
        <v>0</v>
      </c>
      <c r="O9" t="str">
        <v>Output Lulusan Universitas Widyatama</v>
      </c>
      <c r="P9">
        <v>36</v>
      </c>
      <c r="Q9">
        <v>0</v>
      </c>
      <c r="R9">
        <v>0</v>
      </c>
      <c r="S9" t="str">
        <v>Halaman ini menjelaskan dokumen dan sertifikasi yang menjadi output setelah lulus.</v>
      </c>
      <c r="T9">
        <v>82</v>
      </c>
      <c r="U9" t="str">
        <v>Tidak Hanya Ijazah, tetapi Juga Bukti Kompetensi</v>
      </c>
      <c r="V9">
        <v>48</v>
      </c>
      <c r="W9" t="str">
        <v>index, follow, max-image-preview:large, max-snippet:-1, max-video-preview:-1</v>
      </c>
      <c r="X9">
        <v>0</v>
      </c>
      <c r="Y9">
        <v>0</v>
      </c>
      <c r="Z9" t="str">
        <v>https://pmb.widyatama.ac.id/output-lulusan/</v>
      </c>
      <c r="AA9">
        <v>0</v>
      </c>
      <c r="AB9">
        <v>0</v>
      </c>
      <c r="AC9">
        <v>0</v>
      </c>
      <c r="AD9">
        <v>0</v>
      </c>
      <c r="AE9">
        <v>0</v>
      </c>
      <c r="AF9">
        <v>155013</v>
      </c>
      <c r="AG9">
        <v>35332</v>
      </c>
      <c r="AH9">
        <v>2683647</v>
      </c>
      <c r="AI9">
        <v>951366</v>
      </c>
      <c r="AJ9" t="str">
        <v>F</v>
      </c>
      <c r="AK9">
        <v>346</v>
      </c>
      <c r="AL9">
        <v>77</v>
      </c>
      <c r="AM9">
        <v>4494</v>
      </c>
      <c r="AN9" t="str">
        <v>0.000</v>
      </c>
      <c r="AO9" t="str">
        <v>Very Hard</v>
      </c>
      <c r="AP9">
        <v>2056</v>
      </c>
      <c r="AQ9">
        <v>1</v>
      </c>
      <c r="AR9">
        <v>1</v>
      </c>
      <c r="AS9">
        <v>0</v>
      </c>
      <c r="AT9">
        <v>316</v>
      </c>
      <c r="AU9">
        <v>77</v>
      </c>
      <c r="AV9">
        <v>76</v>
      </c>
      <c r="AW9">
        <v>88510</v>
      </c>
      <c r="AX9">
        <v>127</v>
      </c>
      <c r="AY9">
        <v>28</v>
      </c>
      <c r="AZ9">
        <v>0</v>
      </c>
      <c r="BA9">
        <v>8</v>
      </c>
      <c r="BB9">
        <v>7</v>
      </c>
      <c r="BC9">
        <v>2</v>
      </c>
      <c r="BD9">
        <v>0</v>
      </c>
      <c r="BE9">
        <v>0</v>
      </c>
      <c r="BF9">
        <v>0</v>
      </c>
      <c r="BG9">
        <v>0</v>
      </c>
      <c r="BH9" t="str">
        <v>c40c6727e76f0a4013fda4e11f1aa632</v>
      </c>
      <c r="BI9" t="str">
        <v>0.265</v>
      </c>
      <c r="BJ9" t="str">
        <v>Saturday, 15-Aug-2026 09:56:08 GMT</v>
      </c>
      <c r="BK9">
        <v>0</v>
      </c>
      <c r="BL9">
        <v>0</v>
      </c>
      <c r="BM9">
        <v>0</v>
      </c>
      <c r="BN9" t="str">
        <v>en-US</v>
      </c>
      <c r="BO9" t="str">
        <v>None</v>
      </c>
      <c r="BP9">
        <v>0</v>
      </c>
      <c r="BQ9" t="str">
        <v>https://pmb.widyatama.ac.id/output-lulusan/</v>
      </c>
      <c r="BR9">
        <v>46249.705636574072</v>
      </c>
      <c r="BT9" t="str" cm="1">
        <f t="array" ref="BT9:BT12">_xlfn._xlws.FILTER(tblCrawl[Address],(tblCrawl[Status Code]=200)*(tblCrawl[Indexability]="Non-Indexable"),"Tidak ada URL")</f>
        <v>https://pmb.widyatama.ac.id/aktivitas-civitas/3/</v>
      </c>
      <c r="BU9" t="str" cm="1">
        <f t="array" ref="BU9:BU12">_xlfn._xlws.FILTER(tblCrawl[Indexability Status],(tblCrawl[Status Code]=200)*(tblCrawl[Indexability]="Non-Indexable"),"")</f>
        <v>Canonicalised</v>
      </c>
      <c r="BZ9" t="str">
        <v>https://pmb.widyatama.ac.id/output-lulusan/</v>
      </c>
      <c r="CA9" t="str">
        <v>Indexable</v>
      </c>
      <c r="CB9">
        <v>0</v>
      </c>
      <c r="CC9" t="str">
        <v>Other</v>
      </c>
      <c r="CD9" t="str">
        <v>Main PMB Website</v>
      </c>
      <c r="CE9" t="str">
        <v>Yes</v>
      </c>
      <c r="CI9" t="str">
        <v>https://online.pmb.widyatama.ac.id/</v>
      </c>
      <c r="CK9" t="str">
        <v>Homepage/System Root</v>
      </c>
      <c r="CO9" t="str">
        <v>cek-jalur-pendaftaran</v>
      </c>
      <c r="CP9">
        <f t="shared" si="1"/>
        <v>1</v>
      </c>
      <c r="CQ9" t="str" cm="1">
        <f t="array" ref="CQ9">_xlfn.LET(
_xlpm.s,LOWER(CO9),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Admission</v>
      </c>
      <c r="CS9" t="str">
        <v>Policy</v>
      </c>
      <c r="CT9">
        <f t="shared" si="2"/>
        <v>2</v>
      </c>
      <c r="CU9" s="9">
        <f t="shared" si="3"/>
        <v>5.128205128205128E-2</v>
      </c>
      <c r="CV9" t="str">
        <v>Information</v>
      </c>
      <c r="CW9" t="str">
        <v>International</v>
      </c>
      <c r="CX9">
        <f t="shared" si="4"/>
        <v>1</v>
      </c>
      <c r="CY9" s="9">
        <f t="shared" si="5"/>
        <v>1.1494252873563218E-2</v>
      </c>
      <c r="DG9" t="str">
        <v>Information</v>
      </c>
      <c r="DI9" t="str">
        <v>Information</v>
      </c>
      <c r="DJ9">
        <f t="shared" si="6"/>
        <v>2</v>
      </c>
      <c r="DK9" s="9">
        <f t="shared" si="7"/>
        <v>2.2988505747126436E-2</v>
      </c>
      <c r="DM9" t="str">
        <v>https://pmb.widyatama.ac.id/the-rapid-advancement-of-digital-technology/</v>
      </c>
      <c r="DN9" t="str">
        <v>Main PMB Website</v>
      </c>
      <c r="DO9" t="str">
        <v>Indexable</v>
      </c>
      <c r="DQ9" t="str">
        <v>Needs Manual Review</v>
      </c>
      <c r="DU9" s="9"/>
      <c r="DV9" t="str">
        <v>Core PMB Website</v>
      </c>
      <c r="DW9" t="str">
        <v>Yes</v>
      </c>
      <c r="EA9" t="str">
        <v>P2 - High</v>
      </c>
    </row>
    <row r="10" spans="1:135">
      <c r="A10" t="str">
        <v>https://pmb.widyatama.ac.id/beasiswa-mahasiswa-aktif/</v>
      </c>
      <c r="B10" t="str">
        <v>text/html; charset=UTF-8</v>
      </c>
      <c r="C10">
        <v>200</v>
      </c>
      <c r="D10">
        <v>0</v>
      </c>
      <c r="E10" t="str">
        <v>Indexable</v>
      </c>
      <c r="F10">
        <v>0</v>
      </c>
      <c r="G10" t="str">
        <v>Beasiswa Mahasiswa Aktif - PMB UTama</v>
      </c>
      <c r="H10">
        <v>36</v>
      </c>
      <c r="I10">
        <v>369</v>
      </c>
      <c r="J10">
        <v>0</v>
      </c>
      <c r="K10">
        <v>0</v>
      </c>
      <c r="L10">
        <v>0</v>
      </c>
      <c r="M10">
        <v>0</v>
      </c>
      <c r="N10">
        <v>0</v>
      </c>
      <c r="O10" t="str">
        <v>Beasiswa Mahasiswa Aktif Universitas Widyatama</v>
      </c>
      <c r="P10">
        <v>46</v>
      </c>
      <c r="Q10">
        <v>0</v>
      </c>
      <c r="R10">
        <v>0</v>
      </c>
      <c r="S10" t="str">
        <v>Beasiswa ini berlaku setelah calon mahasiswa resmi menjadi mahasiswa aktif.</v>
      </c>
      <c r="T10">
        <v>75</v>
      </c>
      <c r="U10" t="str">
        <v>Ada Peluang Beasiswa Setelah Menjadi Mahasiswa Aktif</v>
      </c>
      <c r="V10">
        <v>52</v>
      </c>
      <c r="W10" t="str">
        <v>index, follow, max-image-preview:large, max-snippet:-1, max-video-preview:-1</v>
      </c>
      <c r="X10">
        <v>0</v>
      </c>
      <c r="Y10">
        <v>0</v>
      </c>
      <c r="Z10" t="str">
        <v>https://pmb.widyatama.ac.id/beasiswa-mahasiswa-aktif/</v>
      </c>
      <c r="AA10">
        <v>0</v>
      </c>
      <c r="AB10">
        <v>0</v>
      </c>
      <c r="AC10">
        <v>0</v>
      </c>
      <c r="AD10">
        <v>0</v>
      </c>
      <c r="AE10">
        <v>0</v>
      </c>
      <c r="AF10">
        <v>154131</v>
      </c>
      <c r="AG10">
        <v>35009</v>
      </c>
      <c r="AH10">
        <v>2359730</v>
      </c>
      <c r="AI10">
        <v>836536</v>
      </c>
      <c r="AJ10" t="str">
        <v>E</v>
      </c>
      <c r="AK10">
        <v>458</v>
      </c>
      <c r="AL10">
        <v>131</v>
      </c>
      <c r="AM10">
        <v>3496</v>
      </c>
      <c r="AN10">
        <v>11366</v>
      </c>
      <c r="AO10" t="str">
        <v>Very Hard</v>
      </c>
      <c r="AP10">
        <v>2383</v>
      </c>
      <c r="AQ10">
        <v>1</v>
      </c>
      <c r="AR10">
        <v>1</v>
      </c>
      <c r="AS10">
        <v>0</v>
      </c>
      <c r="AT10">
        <v>316</v>
      </c>
      <c r="AU10">
        <v>77</v>
      </c>
      <c r="AV10">
        <v>76</v>
      </c>
      <c r="AW10">
        <v>88510</v>
      </c>
      <c r="AX10">
        <v>127</v>
      </c>
      <c r="AY10">
        <v>29</v>
      </c>
      <c r="AZ10">
        <v>0</v>
      </c>
      <c r="BA10">
        <v>8</v>
      </c>
      <c r="BB10">
        <v>7</v>
      </c>
      <c r="BC10">
        <v>2</v>
      </c>
      <c r="BD10">
        <v>0</v>
      </c>
      <c r="BE10">
        <v>0</v>
      </c>
      <c r="BF10">
        <v>0</v>
      </c>
      <c r="BG10">
        <v>0</v>
      </c>
      <c r="BH10" t="str">
        <v>c573cedd5f4118e1c089b7888c4a266b</v>
      </c>
      <c r="BI10" t="str">
        <v>0.150</v>
      </c>
      <c r="BJ10" t="str">
        <v>Saturday, 15-Aug-2026 09:56:14 GMT</v>
      </c>
      <c r="BK10">
        <v>0</v>
      </c>
      <c r="BL10">
        <v>0</v>
      </c>
      <c r="BM10">
        <v>0</v>
      </c>
      <c r="BN10" t="str">
        <v>en-US</v>
      </c>
      <c r="BO10" t="str">
        <v>None</v>
      </c>
      <c r="BP10">
        <v>0</v>
      </c>
      <c r="BQ10" t="str">
        <v>https://pmb.widyatama.ac.id/beasiswa-mahasiswa-aktif/</v>
      </c>
      <c r="BR10">
        <v>46249.705717592595</v>
      </c>
      <c r="BT10" t="str">
        <v>https://pmb.widyatama.ac.id/aktivitas-civitas/2/</v>
      </c>
      <c r="BU10" t="str">
        <v>Canonicalised</v>
      </c>
      <c r="BZ10" t="str">
        <v>https://pmb.widyatama.ac.id/beasiswa-mahasiswa-aktif/</v>
      </c>
      <c r="CA10" t="str">
        <v>Indexable</v>
      </c>
      <c r="CB10">
        <v>0</v>
      </c>
      <c r="CC10" t="str">
        <v>Campaign</v>
      </c>
      <c r="CD10" t="str">
        <v>Main PMB Website</v>
      </c>
      <c r="CE10" t="str">
        <v>Yes</v>
      </c>
      <c r="CI10" t="str">
        <v>https://pmb.widyatama.ac.id/aktivitas-civitas/</v>
      </c>
      <c r="CK10" t="str">
        <v>aktivitas-civitas</v>
      </c>
      <c r="CO10" t="str">
        <v>cookie-policy</v>
      </c>
      <c r="CP10">
        <f t="shared" si="1"/>
        <v>1</v>
      </c>
      <c r="CQ10" t="str" cm="1">
        <f t="array" ref="CQ10">_xlfn.LET(
_xlpm.s,LOWER(CO10),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Policy</v>
      </c>
      <c r="CS10" t="str">
        <v>Registration System</v>
      </c>
      <c r="CT10">
        <f t="shared" si="2"/>
        <v>9</v>
      </c>
      <c r="CU10" s="9">
        <f t="shared" si="3"/>
        <v>0.23076923076923078</v>
      </c>
      <c r="CV10" t="str">
        <v>Campaign</v>
      </c>
      <c r="CW10" t="str">
        <v>Other Review</v>
      </c>
      <c r="CX10">
        <f t="shared" si="4"/>
        <v>4</v>
      </c>
      <c r="CY10" s="9">
        <f t="shared" si="5"/>
        <v>4.5977011494252873E-2</v>
      </c>
      <c r="DG10" t="str">
        <v>Campaign</v>
      </c>
      <c r="DI10" t="str">
        <v>International</v>
      </c>
      <c r="DJ10">
        <f t="shared" si="6"/>
        <v>1</v>
      </c>
      <c r="DK10" s="9">
        <f t="shared" si="7"/>
        <v>1.1494252873563218E-2</v>
      </c>
      <c r="DM10" t="str">
        <v>https://pmb.widyatama.ac.id/the-rapid-advancement-of-digital-technology-2/</v>
      </c>
      <c r="DN10" t="str">
        <v>Main PMB Website</v>
      </c>
      <c r="DO10" t="str">
        <v>Indexable</v>
      </c>
      <c r="DQ10" t="str">
        <v>Needs Manual Review</v>
      </c>
      <c r="DU10" s="9"/>
      <c r="DV10" t="str">
        <v>Core PMB Website</v>
      </c>
      <c r="DW10" t="str">
        <v>Yes</v>
      </c>
      <c r="EA10" t="str">
        <v>P2 - High</v>
      </c>
    </row>
    <row r="11" spans="1:135">
      <c r="A11" t="str">
        <v>https://pmb.widyatama.ac.id/program-rpl/</v>
      </c>
      <c r="B11" t="str">
        <v>text/html; charset=UTF-8</v>
      </c>
      <c r="C11">
        <v>200</v>
      </c>
      <c r="D11">
        <v>0</v>
      </c>
      <c r="E11" t="str">
        <v>Indexable</v>
      </c>
      <c r="F11">
        <v>0</v>
      </c>
      <c r="G11" t="str">
        <v>Program RPL - PMB UTama</v>
      </c>
      <c r="H11">
        <v>23</v>
      </c>
      <c r="I11">
        <v>245</v>
      </c>
      <c r="J11">
        <v>0</v>
      </c>
      <c r="K11">
        <v>0</v>
      </c>
      <c r="L11">
        <v>0</v>
      </c>
      <c r="M11">
        <v>0</v>
      </c>
      <c r="N11">
        <v>0</v>
      </c>
      <c r="O11" t="str">
        <v>Program RPL Widyatama Bandung: Rekognisi Pengalaman Kerja &amp; Pembelajaran Lampau</v>
      </c>
      <c r="P11">
        <v>79</v>
      </c>
      <c r="Q11">
        <v>0</v>
      </c>
      <c r="R11">
        <v>0</v>
      </c>
      <c r="S11" t="str">
        <v>Sudah punya pengalaman kerja, pernah kuliah, atau punya sertifikasi?</v>
      </c>
      <c r="T11">
        <v>68</v>
      </c>
      <c r="U11" t="str">
        <v>Sudah Punya Pengalaman? Saatnya Cek Potensi Rekognisi Anda</v>
      </c>
      <c r="V11">
        <v>58</v>
      </c>
      <c r="W11" t="str">
        <v>index, follow, max-image-preview:large, max-snippet:-1, max-video-preview:-1</v>
      </c>
      <c r="X11">
        <v>0</v>
      </c>
      <c r="Y11">
        <v>0</v>
      </c>
      <c r="Z11" t="str">
        <v>https://pmb.widyatama.ac.id/program-rpl/</v>
      </c>
      <c r="AA11">
        <v>0</v>
      </c>
      <c r="AB11">
        <v>0</v>
      </c>
      <c r="AC11">
        <v>0</v>
      </c>
      <c r="AD11">
        <v>0</v>
      </c>
      <c r="AE11">
        <v>0</v>
      </c>
      <c r="AF11">
        <v>216360</v>
      </c>
      <c r="AG11">
        <v>45408</v>
      </c>
      <c r="AH11">
        <v>3130406</v>
      </c>
      <c r="AI11">
        <v>1109745</v>
      </c>
      <c r="AJ11" t="str">
        <v>F</v>
      </c>
      <c r="AK11">
        <v>1552</v>
      </c>
      <c r="AL11">
        <v>260</v>
      </c>
      <c r="AM11">
        <v>5969</v>
      </c>
      <c r="AN11">
        <v>10699</v>
      </c>
      <c r="AO11" t="str">
        <v>Very Hard</v>
      </c>
      <c r="AP11">
        <v>4416</v>
      </c>
      <c r="AQ11">
        <v>1</v>
      </c>
      <c r="AR11">
        <v>1</v>
      </c>
      <c r="AS11">
        <v>0</v>
      </c>
      <c r="AT11">
        <v>330</v>
      </c>
      <c r="AU11">
        <v>77</v>
      </c>
      <c r="AV11">
        <v>76</v>
      </c>
      <c r="AW11">
        <v>88510</v>
      </c>
      <c r="AX11">
        <v>160</v>
      </c>
      <c r="AY11">
        <v>51</v>
      </c>
      <c r="AZ11">
        <v>1</v>
      </c>
      <c r="BA11">
        <v>19</v>
      </c>
      <c r="BB11">
        <v>8</v>
      </c>
      <c r="BC11">
        <v>3</v>
      </c>
      <c r="BD11">
        <v>0</v>
      </c>
      <c r="BE11">
        <v>0</v>
      </c>
      <c r="BF11">
        <v>0</v>
      </c>
      <c r="BG11">
        <v>0</v>
      </c>
      <c r="BH11" t="str">
        <v>e489ccee94e009b0984b4f1ce884fe0a</v>
      </c>
      <c r="BI11" t="str">
        <v>0.388</v>
      </c>
      <c r="BJ11" t="str">
        <v>Saturday, 15-Aug-2026 09:56:12 GMT</v>
      </c>
      <c r="BK11">
        <v>0</v>
      </c>
      <c r="BL11">
        <v>0</v>
      </c>
      <c r="BM11">
        <v>0</v>
      </c>
      <c r="BN11" t="str">
        <v>en-US</v>
      </c>
      <c r="BO11" t="str">
        <v>None</v>
      </c>
      <c r="BP11">
        <v>0</v>
      </c>
      <c r="BQ11" t="str">
        <v>https://pmb.widyatama.ac.id/program-rpl/</v>
      </c>
      <c r="BR11">
        <v>46249.705682870372</v>
      </c>
      <c r="BT11" t="str">
        <v>https://pmb.widyatama.ac.id/2025/09/19/</v>
      </c>
      <c r="BU11" t="str">
        <v>noindex</v>
      </c>
      <c r="BZ11" t="str">
        <v>https://pmb.widyatama.ac.id/program-rpl/</v>
      </c>
      <c r="CA11" t="str">
        <v>Indexable</v>
      </c>
      <c r="CB11">
        <v>0</v>
      </c>
      <c r="CC11" t="str">
        <v>Program</v>
      </c>
      <c r="CD11" t="str">
        <v>Main PMB Website</v>
      </c>
      <c r="CE11" t="str">
        <v>Yes</v>
      </c>
      <c r="CI11" t="str">
        <v>https://pmb.widyatama.ac.id/cek-jalur-pendaftaran/</v>
      </c>
      <c r="CK11" t="str">
        <v>cek-jalur-pendaftaran</v>
      </c>
      <c r="CO11" t="str">
        <v>democracy-in-indonesia-why-it-feels-weak-at-the-grassroots</v>
      </c>
      <c r="CP11">
        <f t="shared" si="1"/>
        <v>1</v>
      </c>
      <c r="CQ11" t="str" cm="1">
        <f t="array" ref="CQ11">_xlfn.LET(
_xlpm.s,LOWER(CO11),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11" t="str">
        <v>Program</v>
      </c>
      <c r="CW11" t="str">
        <v>Policy</v>
      </c>
      <c r="CX11">
        <f t="shared" si="4"/>
        <v>2</v>
      </c>
      <c r="CY11" s="9">
        <f t="shared" si="5"/>
        <v>2.2988505747126436E-2</v>
      </c>
      <c r="DG11" t="str">
        <v>Program</v>
      </c>
      <c r="DI11" t="str">
        <v>Policy</v>
      </c>
      <c r="DJ11">
        <f t="shared" si="6"/>
        <v>2</v>
      </c>
      <c r="DK11" s="9">
        <f t="shared" si="7"/>
        <v>2.2988505747126436E-2</v>
      </c>
      <c r="DM11" t="str">
        <v>https://pmb.widyatama.ac.id/democracy-in-indonesia-why-it-feels-weak-at-the-grassroots-3/</v>
      </c>
      <c r="DN11" t="str">
        <v>Main PMB Website</v>
      </c>
      <c r="DO11" t="str">
        <v>Indexable</v>
      </c>
      <c r="DQ11" t="str">
        <v>Needs Manual Review</v>
      </c>
      <c r="DU11" s="9"/>
      <c r="DV11" t="str">
        <v>Core PMB Website</v>
      </c>
      <c r="DW11" t="str">
        <v>Yes</v>
      </c>
      <c r="EA11" t="str">
        <v>P1 - Critical</v>
      </c>
    </row>
    <row r="12" spans="1:135">
      <c r="A12" t="str">
        <v>https://pmb.widyatama.ac.id/biaya-kuliah-kelas-karyawan/</v>
      </c>
      <c r="B12" t="str">
        <v>text/html; charset=UTF-8</v>
      </c>
      <c r="C12">
        <v>200</v>
      </c>
      <c r="D12">
        <v>0</v>
      </c>
      <c r="E12" t="str">
        <v>Indexable</v>
      </c>
      <c r="F12">
        <v>0</v>
      </c>
      <c r="G12" t="str">
        <v>Biaya Kuliah Kelas Karyawan - PMB UTama</v>
      </c>
      <c r="H12">
        <v>39</v>
      </c>
      <c r="I12">
        <v>386</v>
      </c>
      <c r="J12">
        <v>0</v>
      </c>
      <c r="K12">
        <v>0</v>
      </c>
      <c r="L12">
        <v>0</v>
      </c>
      <c r="M12">
        <v>0</v>
      </c>
      <c r="N12">
        <v>0</v>
      </c>
      <c r="O12" t="str">
        <v>Biaya Kuliah Kelas Karyawan Widyatama Bandung 2026/2027</v>
      </c>
      <c r="P12">
        <v>55</v>
      </c>
      <c r="Q12">
        <v>0</v>
      </c>
      <c r="R12">
        <v>0</v>
      </c>
      <c r="S12" t="str">
        <v>Butuh skema biaya yang lebih mudah direncanakan?</v>
      </c>
      <c r="T12">
        <v>48</v>
      </c>
      <c r="U12" t="str">
        <v>Simulasi Biaya Kelas Karyawan</v>
      </c>
      <c r="V12">
        <v>29</v>
      </c>
      <c r="W12" t="str">
        <v>index, follow, max-image-preview:large, max-snippet:-1, max-video-preview:-1</v>
      </c>
      <c r="X12">
        <v>0</v>
      </c>
      <c r="Y12">
        <v>0</v>
      </c>
      <c r="Z12" t="str">
        <v>https://pmb.widyatama.ac.id/biaya-kuliah-kelas-karyawan/</v>
      </c>
      <c r="AA12">
        <v>0</v>
      </c>
      <c r="AB12">
        <v>0</v>
      </c>
      <c r="AC12">
        <v>0</v>
      </c>
      <c r="AD12">
        <v>0</v>
      </c>
      <c r="AE12">
        <v>0</v>
      </c>
      <c r="AF12">
        <v>228505</v>
      </c>
      <c r="AG12">
        <v>48568</v>
      </c>
      <c r="AH12">
        <v>2344527</v>
      </c>
      <c r="AI12">
        <v>831147</v>
      </c>
      <c r="AJ12" t="str">
        <v>E</v>
      </c>
      <c r="AK12">
        <v>1256</v>
      </c>
      <c r="AL12">
        <v>195</v>
      </c>
      <c r="AM12">
        <v>6441</v>
      </c>
      <c r="AN12">
        <v>19310</v>
      </c>
      <c r="AO12" t="str">
        <v>Very Hard</v>
      </c>
      <c r="AP12">
        <v>3706</v>
      </c>
      <c r="AQ12">
        <v>1</v>
      </c>
      <c r="AR12">
        <v>1</v>
      </c>
      <c r="AS12">
        <v>0</v>
      </c>
      <c r="AT12">
        <v>333</v>
      </c>
      <c r="AU12">
        <v>77</v>
      </c>
      <c r="AV12">
        <v>76</v>
      </c>
      <c r="AW12">
        <v>88510</v>
      </c>
      <c r="AX12">
        <v>130</v>
      </c>
      <c r="AY12">
        <v>29</v>
      </c>
      <c r="AZ12">
        <v>0</v>
      </c>
      <c r="BA12">
        <v>16</v>
      </c>
      <c r="BB12">
        <v>8</v>
      </c>
      <c r="BC12">
        <v>3</v>
      </c>
      <c r="BD12">
        <v>0</v>
      </c>
      <c r="BE12">
        <v>0</v>
      </c>
      <c r="BF12">
        <v>0</v>
      </c>
      <c r="BG12">
        <v>0</v>
      </c>
      <c r="BH12" t="str">
        <v>d7620fe32c20cc691c4f96210da7f795</v>
      </c>
      <c r="BI12" t="str">
        <v>0.218</v>
      </c>
      <c r="BJ12" t="str">
        <v>Saturday, 15-Aug-2026 09:56:16 GMT</v>
      </c>
      <c r="BK12">
        <v>0</v>
      </c>
      <c r="BL12">
        <v>0</v>
      </c>
      <c r="BM12">
        <v>0</v>
      </c>
      <c r="BN12" t="str">
        <v>en-US</v>
      </c>
      <c r="BO12" t="str">
        <v>None</v>
      </c>
      <c r="BP12">
        <v>0</v>
      </c>
      <c r="BQ12" t="str">
        <v>https://pmb.widyatama.ac.id/biaya-kuliah-kelas-karyawan/</v>
      </c>
      <c r="BR12">
        <v>46249.705729166664</v>
      </c>
      <c r="BT12" t="str">
        <v>https://pmb.widyatama.ac.id/2025/09/13/</v>
      </c>
      <c r="BU12" t="str">
        <v>noindex</v>
      </c>
      <c r="BZ12" t="str">
        <v>https://pmb.widyatama.ac.id/biaya-kuliah-kelas-karyawan/</v>
      </c>
      <c r="CA12" t="str">
        <v>Indexable</v>
      </c>
      <c r="CB12">
        <v>0</v>
      </c>
      <c r="CC12" t="str">
        <v>Pricing</v>
      </c>
      <c r="CD12" t="str">
        <v>Main PMB Website</v>
      </c>
      <c r="CE12" t="str">
        <v>Yes</v>
      </c>
      <c r="CI12" t="str">
        <v>https://pmb.widyatama.ac.id/fasilitas/</v>
      </c>
      <c r="CK12" t="str">
        <v>fasilitas</v>
      </c>
      <c r="CO12" t="str">
        <v>democracy-in-indonesia-why-it-feels-weak-at-the-grassroots-2</v>
      </c>
      <c r="CP12">
        <f t="shared" si="1"/>
        <v>1</v>
      </c>
      <c r="CQ12" t="str" cm="1">
        <f t="array" ref="CQ12">_xlfn.LET(
_xlpm.s,LOWER(CO12),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12" t="str">
        <v>Pricing</v>
      </c>
      <c r="CW12" t="str">
        <v>Pricing</v>
      </c>
      <c r="CX12">
        <f t="shared" si="4"/>
        <v>4</v>
      </c>
      <c r="CY12" s="9">
        <f t="shared" si="5"/>
        <v>4.5977011494252873E-2</v>
      </c>
      <c r="DG12" t="str">
        <v>Pricing</v>
      </c>
      <c r="DI12" t="str">
        <v>Pricing</v>
      </c>
      <c r="DJ12">
        <f t="shared" si="6"/>
        <v>4</v>
      </c>
      <c r="DK12" s="9">
        <f t="shared" si="7"/>
        <v>4.5977011494252873E-2</v>
      </c>
      <c r="DM12" t="str">
        <v>https://pmb.widyatama.ac.id/2025/09/13/</v>
      </c>
      <c r="DN12" t="str">
        <v>Main PMB Website</v>
      </c>
      <c r="DO12" t="str">
        <v>Non-Indexable</v>
      </c>
      <c r="DQ12" t="str">
        <v>Needs Manual Review</v>
      </c>
      <c r="DU12" s="9"/>
      <c r="DV12" t="str">
        <v>Core PMB Website</v>
      </c>
      <c r="DW12" t="str">
        <v>Yes</v>
      </c>
      <c r="EA12" t="str">
        <v>P1 - Critical</v>
      </c>
    </row>
    <row r="13" spans="1:135">
      <c r="A13" t="str">
        <v>https://pmb.widyatama.ac.id/jurusan/</v>
      </c>
      <c r="B13" t="str">
        <v>text/html; charset=UTF-8</v>
      </c>
      <c r="C13">
        <v>200</v>
      </c>
      <c r="D13">
        <v>0</v>
      </c>
      <c r="E13" t="str">
        <v>Indexable</v>
      </c>
      <c r="F13">
        <v>0</v>
      </c>
      <c r="G13" t="str">
        <v>Jurusan - PMB UTama</v>
      </c>
      <c r="H13">
        <v>19</v>
      </c>
      <c r="I13">
        <v>201</v>
      </c>
      <c r="J13">
        <v>0</v>
      </c>
      <c r="K13">
        <v>0</v>
      </c>
      <c r="L13">
        <v>0</v>
      </c>
      <c r="M13">
        <v>0</v>
      </c>
      <c r="N13">
        <v>0</v>
      </c>
      <c r="O13" t="str">
        <v>Daftar Jurusan di Universitas Widyatama Bandung</v>
      </c>
      <c r="P13">
        <v>47</v>
      </c>
      <c r="Q13">
        <v>0</v>
      </c>
      <c r="R13">
        <v>0</v>
      </c>
      <c r="S13" t="str">
        <v>Mulai dari minat, jenjang, dan prospek karier yang Anda tuju.</v>
      </c>
      <c r="T13">
        <v>61</v>
      </c>
      <c r="U13" t="str">
        <v>Pencarian</v>
      </c>
      <c r="V13">
        <v>9</v>
      </c>
      <c r="W13" t="str">
        <v>index, follow, max-image-preview:large, max-snippet:-1, max-video-preview:-1</v>
      </c>
      <c r="X13">
        <v>0</v>
      </c>
      <c r="Y13">
        <v>0</v>
      </c>
      <c r="Z13" t="str">
        <v>https://pmb.widyatama.ac.id/jurusan/</v>
      </c>
      <c r="AA13">
        <v>0</v>
      </c>
      <c r="AB13">
        <v>0</v>
      </c>
      <c r="AC13">
        <v>0</v>
      </c>
      <c r="AD13">
        <v>0</v>
      </c>
      <c r="AE13">
        <v>0</v>
      </c>
      <c r="AF13">
        <v>194593</v>
      </c>
      <c r="AG13">
        <v>41500</v>
      </c>
      <c r="AH13">
        <v>27480260</v>
      </c>
      <c r="AI13">
        <v>9741890</v>
      </c>
      <c r="AJ13" t="str">
        <v>F</v>
      </c>
      <c r="AK13">
        <v>526</v>
      </c>
      <c r="AL13">
        <v>172</v>
      </c>
      <c r="AM13">
        <v>3058</v>
      </c>
      <c r="AN13" t="str">
        <v>0.000</v>
      </c>
      <c r="AO13" t="str">
        <v>Very Hard</v>
      </c>
      <c r="AP13">
        <v>2245</v>
      </c>
      <c r="AQ13">
        <v>1</v>
      </c>
      <c r="AR13">
        <v>1</v>
      </c>
      <c r="AS13">
        <v>0</v>
      </c>
      <c r="AT13">
        <v>377</v>
      </c>
      <c r="AU13">
        <v>77</v>
      </c>
      <c r="AV13">
        <v>77</v>
      </c>
      <c r="AW13">
        <v>88510</v>
      </c>
      <c r="AX13">
        <v>167</v>
      </c>
      <c r="AY13">
        <v>80</v>
      </c>
      <c r="AZ13">
        <v>0</v>
      </c>
      <c r="BA13">
        <v>14</v>
      </c>
      <c r="BB13">
        <v>8</v>
      </c>
      <c r="BC13">
        <v>3</v>
      </c>
      <c r="BD13">
        <v>0</v>
      </c>
      <c r="BE13">
        <v>0</v>
      </c>
      <c r="BF13">
        <v>0</v>
      </c>
      <c r="BG13">
        <v>0</v>
      </c>
      <c r="BH13" t="str">
        <v>cda17362fd9d8bab8f3757cbdcdfe342</v>
      </c>
      <c r="BI13" t="str">
        <v>0.224</v>
      </c>
      <c r="BJ13" t="str">
        <v>Saturday, 15-Aug-2026 09:56:10 GMT</v>
      </c>
      <c r="BK13">
        <v>0</v>
      </c>
      <c r="BL13">
        <v>0</v>
      </c>
      <c r="BM13">
        <v>0</v>
      </c>
      <c r="BN13" t="str">
        <v>en-US</v>
      </c>
      <c r="BO13" t="str">
        <v>None</v>
      </c>
      <c r="BP13">
        <v>0</v>
      </c>
      <c r="BQ13" t="str">
        <v>https://pmb.widyatama.ac.id/jurusan/</v>
      </c>
      <c r="BR13">
        <v>46249.705659722225</v>
      </c>
      <c r="BZ13" t="str">
        <v>https://pmb.widyatama.ac.id/jurusan/</v>
      </c>
      <c r="CA13" t="str">
        <v>Indexable</v>
      </c>
      <c r="CB13">
        <v>0</v>
      </c>
      <c r="CC13" t="str">
        <v>Program</v>
      </c>
      <c r="CD13" t="str">
        <v>Main PMB Website</v>
      </c>
      <c r="CE13" t="str">
        <v>Yes</v>
      </c>
      <c r="CI13" t="str">
        <v>https://pmb.widyatama.ac.id/apresiasi-prestasi-mahasiswa/</v>
      </c>
      <c r="CK13" t="str">
        <v>apresiasi-prestasi-mahasiswa</v>
      </c>
      <c r="CO13" t="str">
        <v>democracy-in-indonesia-why-it-feels-weak-at-the-grassroots-3</v>
      </c>
      <c r="CP13">
        <f t="shared" si="1"/>
        <v>1</v>
      </c>
      <c r="CQ13" t="str" cm="1">
        <f t="array" ref="CQ13">_xlfn.LET(
_xlpm.s,LOWER(CO13),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13" t="str">
        <v>Program</v>
      </c>
      <c r="CW13" t="str">
        <v>Program</v>
      </c>
      <c r="CX13">
        <f t="shared" si="4"/>
        <v>29</v>
      </c>
      <c r="CY13" s="9">
        <f>IFERROR(CX13/ROWS(_xlfn.ANCHORARRAY($CV$2)),0)</f>
        <v>0.33333333333333331</v>
      </c>
      <c r="DG13" t="str">
        <v>Program</v>
      </c>
      <c r="DI13" t="str">
        <v>Program</v>
      </c>
      <c r="DJ13">
        <f t="shared" si="6"/>
        <v>29</v>
      </c>
      <c r="DK13" s="9">
        <f t="shared" si="7"/>
        <v>0.33333333333333331</v>
      </c>
      <c r="DV13" t="str">
        <v>Core PMB Website</v>
      </c>
      <c r="DW13" t="str">
        <v>Yes</v>
      </c>
      <c r="EA13" t="str">
        <v>P1 - Critical</v>
      </c>
    </row>
    <row r="14" spans="1:135">
      <c r="A14" t="str">
        <v>https://pmb.widyatama.ac.id/blog/</v>
      </c>
      <c r="B14" t="str">
        <v>text/html; charset=UTF-8</v>
      </c>
      <c r="C14">
        <v>200</v>
      </c>
      <c r="D14">
        <v>0</v>
      </c>
      <c r="E14" t="str">
        <v>Indexable</v>
      </c>
      <c r="F14">
        <v>0</v>
      </c>
      <c r="G14" t="str">
        <v>Blog - PMB UTama</v>
      </c>
      <c r="H14">
        <v>16</v>
      </c>
      <c r="I14">
        <v>168</v>
      </c>
      <c r="J14">
        <v>0</v>
      </c>
      <c r="K14">
        <v>0</v>
      </c>
      <c r="L14">
        <v>0</v>
      </c>
      <c r="M14">
        <v>0</v>
      </c>
      <c r="N14">
        <v>0</v>
      </c>
      <c r="O14" t="str">
        <v>The Rapid Advancement of Digital Technology</v>
      </c>
      <c r="P14">
        <v>43</v>
      </c>
      <c r="Q14" t="str">
        <v>Democracy in Indonesia: Why It Feels Weak at the Grassroots</v>
      </c>
      <c r="R14">
        <v>59</v>
      </c>
      <c r="S14" t="str">
        <v>Search</v>
      </c>
      <c r="T14">
        <v>6</v>
      </c>
      <c r="U14" t="str">
        <v>Categories</v>
      </c>
      <c r="V14">
        <v>10</v>
      </c>
      <c r="W14" t="str">
        <v>index, follow, max-image-preview:large, max-snippet:-1, max-video-preview:-1</v>
      </c>
      <c r="X14">
        <v>0</v>
      </c>
      <c r="Y14">
        <v>0</v>
      </c>
      <c r="Z14" t="str">
        <v>https://pmb.widyatama.ac.id/blog/</v>
      </c>
      <c r="AA14">
        <v>0</v>
      </c>
      <c r="AB14">
        <v>0</v>
      </c>
      <c r="AC14">
        <v>0</v>
      </c>
      <c r="AD14">
        <v>0</v>
      </c>
      <c r="AE14">
        <v>0</v>
      </c>
      <c r="AF14">
        <v>172841</v>
      </c>
      <c r="AG14">
        <v>33714</v>
      </c>
      <c r="AH14">
        <v>2943781</v>
      </c>
      <c r="AI14">
        <v>1043585</v>
      </c>
      <c r="AJ14" t="str">
        <v>F</v>
      </c>
      <c r="AK14">
        <v>319</v>
      </c>
      <c r="AL14">
        <v>82</v>
      </c>
      <c r="AM14">
        <v>3890</v>
      </c>
      <c r="AN14">
        <v>70815</v>
      </c>
      <c r="AO14" t="str">
        <v>Fairly Easy</v>
      </c>
      <c r="AP14">
        <v>1610</v>
      </c>
      <c r="AQ14">
        <v>1</v>
      </c>
      <c r="AR14">
        <v>1</v>
      </c>
      <c r="AS14">
        <v>0</v>
      </c>
      <c r="AT14">
        <v>317</v>
      </c>
      <c r="AU14">
        <v>77</v>
      </c>
      <c r="AV14">
        <v>76</v>
      </c>
      <c r="AW14">
        <v>88510</v>
      </c>
      <c r="AX14">
        <v>149</v>
      </c>
      <c r="AY14">
        <v>39</v>
      </c>
      <c r="AZ14">
        <v>0</v>
      </c>
      <c r="BA14">
        <v>8</v>
      </c>
      <c r="BB14">
        <v>7</v>
      </c>
      <c r="BC14">
        <v>2</v>
      </c>
      <c r="BD14">
        <v>0</v>
      </c>
      <c r="BE14">
        <v>0</v>
      </c>
      <c r="BF14">
        <v>0</v>
      </c>
      <c r="BG14">
        <v>0</v>
      </c>
      <c r="BH14" t="str">
        <v>5bd6aad56c78051ff764117d1cae49cf</v>
      </c>
      <c r="BI14" t="str">
        <v>0.222</v>
      </c>
      <c r="BJ14" t="str">
        <v>Saturday, 15-Aug-2026 09:56:23 GMT</v>
      </c>
      <c r="BK14">
        <v>0</v>
      </c>
      <c r="BL14">
        <v>0</v>
      </c>
      <c r="BM14">
        <v>0</v>
      </c>
      <c r="BN14" t="str">
        <v>en-US</v>
      </c>
      <c r="BO14" t="str">
        <v>None</v>
      </c>
      <c r="BP14">
        <v>0</v>
      </c>
      <c r="BQ14" t="str">
        <v>https://pmb.widyatama.ac.id/blog/</v>
      </c>
      <c r="BR14">
        <v>46249.705821759257</v>
      </c>
      <c r="BZ14" t="str">
        <v>https://pmb.widyatama.ac.id/blog/</v>
      </c>
      <c r="CA14" t="str">
        <v>Indexable</v>
      </c>
      <c r="CB14">
        <v>0</v>
      </c>
      <c r="CC14" t="str">
        <v>Other</v>
      </c>
      <c r="CD14" t="str">
        <v>Main PMB Website</v>
      </c>
      <c r="CE14" t="str">
        <v>Yes</v>
      </c>
      <c r="CI14" t="str">
        <v>https://pmb.widyatama.ac.id/asuransi-mahasiswa/</v>
      </c>
      <c r="CK14" t="str">
        <v>asuransi-mahasiswa</v>
      </c>
      <c r="CO14" t="str">
        <v>democracy-in-indonesia-why-it-feels-weak-at-the-grassroots-4</v>
      </c>
      <c r="CP14">
        <f t="shared" si="1"/>
        <v>1</v>
      </c>
      <c r="CQ14" t="str" cm="1">
        <f t="array" ref="CQ14">_xlfn.LET(
_xlpm.s,LOWER(CO14),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14" t="str">
        <v>Content</v>
      </c>
      <c r="CW14" t="str">
        <v>Registration System</v>
      </c>
      <c r="CX14">
        <f t="shared" si="4"/>
        <v>9</v>
      </c>
      <c r="CY14" s="9">
        <f t="shared" si="5"/>
        <v>0.10344827586206896</v>
      </c>
      <c r="CZ14" s="8"/>
      <c r="DG14" t="str">
        <v>Content</v>
      </c>
      <c r="DI14" t="str">
        <v>Registration System</v>
      </c>
      <c r="DJ14">
        <f t="shared" si="6"/>
        <v>10</v>
      </c>
      <c r="DK14" s="9">
        <f t="shared" si="7"/>
        <v>0.11494252873563218</v>
      </c>
      <c r="DV14" t="str">
        <v>Core PMB Website</v>
      </c>
      <c r="DW14" t="str">
        <v>Yes</v>
      </c>
      <c r="EA14" t="str">
        <v>P3 - Standard</v>
      </c>
    </row>
    <row r="15" spans="1:135">
      <c r="A15" t="str">
        <v>https://pmb.widyatama.ac.id/biaya-kuliah-kelas-reguler/</v>
      </c>
      <c r="B15" t="str">
        <v>text/html; charset=UTF-8</v>
      </c>
      <c r="C15">
        <v>200</v>
      </c>
      <c r="D15">
        <v>0</v>
      </c>
      <c r="E15" t="str">
        <v>Indexable</v>
      </c>
      <c r="F15">
        <v>0</v>
      </c>
      <c r="G15" t="str">
        <v>Biaya Kuliah Kelas Reguler - PMB UTama</v>
      </c>
      <c r="H15">
        <v>38</v>
      </c>
      <c r="I15">
        <v>364</v>
      </c>
      <c r="J15">
        <v>0</v>
      </c>
      <c r="K15">
        <v>0</v>
      </c>
      <c r="L15">
        <v>0</v>
      </c>
      <c r="M15">
        <v>0</v>
      </c>
      <c r="N15">
        <v>0</v>
      </c>
      <c r="O15" t="str">
        <v>Biaya Kuliah Kelas Reguler Widyatama Bandung 2026/2027</v>
      </c>
      <c r="P15">
        <v>54</v>
      </c>
      <c r="Q15">
        <v>0</v>
      </c>
      <c r="R15">
        <v>0</v>
      </c>
      <c r="S15" t="str">
        <v>Butuh memahami total biaya sebelum daftar?</v>
      </c>
      <c r="T15">
        <v>42</v>
      </c>
      <c r="U15">
        <v>0</v>
      </c>
      <c r="V15">
        <v>0</v>
      </c>
      <c r="W15" t="str">
        <v>index, follow, max-image-preview:large, max-snippet:-1, max-video-preview:-1</v>
      </c>
      <c r="X15">
        <v>0</v>
      </c>
      <c r="Y15">
        <v>0</v>
      </c>
      <c r="Z15" t="str">
        <v>https://pmb.widyatama.ac.id/biaya-kuliah-kelas-reguler/</v>
      </c>
      <c r="AA15">
        <v>0</v>
      </c>
      <c r="AB15">
        <v>0</v>
      </c>
      <c r="AC15">
        <v>0</v>
      </c>
      <c r="AD15">
        <v>0</v>
      </c>
      <c r="AE15">
        <v>0</v>
      </c>
      <c r="AF15">
        <v>239794</v>
      </c>
      <c r="AG15">
        <v>50093</v>
      </c>
      <c r="AH15">
        <v>2345423</v>
      </c>
      <c r="AI15">
        <v>831464</v>
      </c>
      <c r="AJ15" t="str">
        <v>E</v>
      </c>
      <c r="AK15">
        <v>1937</v>
      </c>
      <c r="AL15">
        <v>622</v>
      </c>
      <c r="AM15">
        <v>3114</v>
      </c>
      <c r="AN15">
        <v>73040</v>
      </c>
      <c r="AO15" t="str">
        <v>Fairly Easy</v>
      </c>
      <c r="AP15">
        <v>4269</v>
      </c>
      <c r="AQ15">
        <v>1</v>
      </c>
      <c r="AR15">
        <v>1</v>
      </c>
      <c r="AS15">
        <v>0</v>
      </c>
      <c r="AT15">
        <v>362</v>
      </c>
      <c r="AU15">
        <v>77</v>
      </c>
      <c r="AV15">
        <v>77</v>
      </c>
      <c r="AW15">
        <v>88510</v>
      </c>
      <c r="AX15">
        <v>130</v>
      </c>
      <c r="AY15">
        <v>28</v>
      </c>
      <c r="AZ15">
        <v>0</v>
      </c>
      <c r="BA15">
        <v>16</v>
      </c>
      <c r="BB15">
        <v>8</v>
      </c>
      <c r="BC15">
        <v>3</v>
      </c>
      <c r="BD15">
        <v>0</v>
      </c>
      <c r="BE15">
        <v>0</v>
      </c>
      <c r="BF15">
        <v>0</v>
      </c>
      <c r="BG15">
        <v>0</v>
      </c>
      <c r="BH15" t="str">
        <v>4e1e99d197c7d1a3bbc5d241bff918be</v>
      </c>
      <c r="BI15" t="str">
        <v>0.099</v>
      </c>
      <c r="BJ15" t="str">
        <v>Saturday, 15-Aug-2026 09:56:28 GMT</v>
      </c>
      <c r="BK15">
        <v>0</v>
      </c>
      <c r="BL15">
        <v>0</v>
      </c>
      <c r="BM15">
        <v>0</v>
      </c>
      <c r="BN15" t="str">
        <v>en-US</v>
      </c>
      <c r="BO15" t="str">
        <v>None</v>
      </c>
      <c r="BP15">
        <v>0</v>
      </c>
      <c r="BQ15" t="str">
        <v>https://pmb.widyatama.ac.id/biaya-kuliah-kelas-reguler/</v>
      </c>
      <c r="BR15">
        <v>46249.705868055556</v>
      </c>
      <c r="BZ15" t="str">
        <v>https://pmb.widyatama.ac.id/biaya-kuliah-kelas-reguler/</v>
      </c>
      <c r="CA15" t="str">
        <v>Indexable</v>
      </c>
      <c r="CB15">
        <v>0</v>
      </c>
      <c r="CC15" t="str">
        <v>Pricing</v>
      </c>
      <c r="CD15" t="str">
        <v>Main PMB Website</v>
      </c>
      <c r="CE15" t="str">
        <v>Yes</v>
      </c>
      <c r="CI15" t="str">
        <v>https://pmb.widyatama.ac.id/organisasi-kemahasiswaan/</v>
      </c>
      <c r="CK15" t="str">
        <v>organisasi-kemahasiswaan</v>
      </c>
      <c r="CO15" t="str">
        <v>fasilitas</v>
      </c>
      <c r="CP15">
        <f t="shared" si="1"/>
        <v>1</v>
      </c>
      <c r="CQ15" t="str" cm="1">
        <f t="array" ref="CQ15">_xlfn.LET(
_xlpm.s,LOWER(CO15),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Campus Life</v>
      </c>
      <c r="CV15" t="str">
        <v>Pricing</v>
      </c>
      <c r="DG15" t="str">
        <v>Pricing</v>
      </c>
      <c r="DV15" t="str">
        <v>Core PMB Website</v>
      </c>
      <c r="DW15" t="str">
        <v>Yes</v>
      </c>
      <c r="EA15" t="str">
        <v>P1 - Critical</v>
      </c>
    </row>
    <row r="16" spans="1:135">
      <c r="A16" t="str">
        <v>https://online.pmb.widyatama.ac.id/</v>
      </c>
      <c r="B16" t="str">
        <v>text/html; charset=utf-8</v>
      </c>
      <c r="C16">
        <v>200</v>
      </c>
      <c r="D16">
        <v>0</v>
      </c>
      <c r="E16" t="str">
        <v>Indexable</v>
      </c>
      <c r="F16">
        <v>0</v>
      </c>
      <c r="G16" t="str">
        <v>PMB | Universitas Widyatama</v>
      </c>
      <c r="H16">
        <v>27</v>
      </c>
      <c r="I16">
        <v>262</v>
      </c>
      <c r="J16">
        <v>0</v>
      </c>
      <c r="K16">
        <v>0</v>
      </c>
      <c r="L16">
        <v>0</v>
      </c>
      <c r="M16">
        <v>0</v>
      </c>
      <c r="N16">
        <v>0</v>
      </c>
      <c r="O16" t="str">
        <v>Program PMB</v>
      </c>
      <c r="P16">
        <v>11</v>
      </c>
      <c r="Q16">
        <v>0</v>
      </c>
      <c r="R16">
        <v>0</v>
      </c>
      <c r="S16">
        <v>0</v>
      </c>
      <c r="T16">
        <v>0</v>
      </c>
      <c r="U16">
        <v>0</v>
      </c>
      <c r="V16">
        <v>0</v>
      </c>
      <c r="W16">
        <v>0</v>
      </c>
      <c r="X16">
        <v>0</v>
      </c>
      <c r="Y16">
        <v>0</v>
      </c>
      <c r="Z16">
        <v>0</v>
      </c>
      <c r="AA16">
        <v>0</v>
      </c>
      <c r="AB16">
        <v>0</v>
      </c>
      <c r="AC16">
        <v>0</v>
      </c>
      <c r="AD16">
        <v>0</v>
      </c>
      <c r="AE16">
        <v>0</v>
      </c>
      <c r="AF16">
        <v>22201</v>
      </c>
      <c r="AG16">
        <v>5693</v>
      </c>
      <c r="AH16">
        <v>963140</v>
      </c>
      <c r="AI16">
        <v>341438</v>
      </c>
      <c r="AJ16" t="str">
        <v>C</v>
      </c>
      <c r="AK16">
        <v>195</v>
      </c>
      <c r="AL16">
        <v>53</v>
      </c>
      <c r="AM16">
        <v>3679</v>
      </c>
      <c r="AN16">
        <v>37805</v>
      </c>
      <c r="AO16" t="str">
        <v>Hard</v>
      </c>
      <c r="AP16">
        <v>6433</v>
      </c>
      <c r="AQ16">
        <v>1</v>
      </c>
      <c r="AR16">
        <v>0</v>
      </c>
      <c r="AS16">
        <v>0</v>
      </c>
      <c r="AT16">
        <v>605</v>
      </c>
      <c r="AU16">
        <v>87</v>
      </c>
      <c r="AV16">
        <v>78</v>
      </c>
      <c r="AW16">
        <v>100000</v>
      </c>
      <c r="AX16">
        <v>13</v>
      </c>
      <c r="AY16">
        <v>11</v>
      </c>
      <c r="AZ16">
        <v>0</v>
      </c>
      <c r="BA16">
        <v>2</v>
      </c>
      <c r="BB16">
        <v>2</v>
      </c>
      <c r="BC16">
        <v>0</v>
      </c>
      <c r="BD16">
        <v>0</v>
      </c>
      <c r="BE16">
        <v>0</v>
      </c>
      <c r="BF16">
        <v>0</v>
      </c>
      <c r="BG16">
        <v>0</v>
      </c>
      <c r="BH16" t="str">
        <v>daa80905eee0e777d0b807d8b4aafa1c</v>
      </c>
      <c r="BI16" t="str">
        <v>0.251</v>
      </c>
      <c r="BJ16">
        <v>0</v>
      </c>
      <c r="BK16">
        <v>0</v>
      </c>
      <c r="BL16">
        <v>0</v>
      </c>
      <c r="BM16">
        <v>0</v>
      </c>
      <c r="BN16" t="str">
        <v>en</v>
      </c>
      <c r="BO16" t="str">
        <v>2.0</v>
      </c>
      <c r="BP16">
        <v>0</v>
      </c>
      <c r="BQ16" t="str">
        <v>https://online.pmb.widyatama.ac.id/</v>
      </c>
      <c r="BR16">
        <v>46249.705937500003</v>
      </c>
      <c r="BZ16" t="str">
        <v>https://online.pmb.widyatama.ac.id/</v>
      </c>
      <c r="CA16" t="str">
        <v>Indexable</v>
      </c>
      <c r="CB16">
        <v>0</v>
      </c>
      <c r="CC16" t="str">
        <v>Other</v>
      </c>
      <c r="CD16" t="str">
        <v>Online Registration System</v>
      </c>
      <c r="CE16" t="str">
        <v>Yes</v>
      </c>
      <c r="CI16" t="str">
        <v>https://online.pmb.widyatama.ac.id/register/fst</v>
      </c>
      <c r="CK16" t="str">
        <v>register</v>
      </c>
      <c r="CO16" t="str">
        <v>hasil</v>
      </c>
      <c r="CP16">
        <f t="shared" si="1"/>
        <v>1</v>
      </c>
      <c r="CQ16" t="str" cm="1">
        <f t="array" ref="CQ16">_xlfn.LET(
_xlpm.s,LOWER(CO16),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Other Review</v>
      </c>
      <c r="CV16" t="str">
        <v>Registration System</v>
      </c>
      <c r="DG16" t="str">
        <v>Registration System</v>
      </c>
      <c r="DV16" t="str">
        <v>Registration System</v>
      </c>
      <c r="DW16" t="str">
        <v>Yes</v>
      </c>
      <c r="EA16" t="str">
        <v>P1 - Critical</v>
      </c>
    </row>
    <row r="17" spans="1:131">
      <c r="A17" t="str">
        <v>https://pmb.widyatama.ac.id/aktivitas-civitas/</v>
      </c>
      <c r="B17" t="str">
        <v>text/html; charset=UTF-8</v>
      </c>
      <c r="C17">
        <v>200</v>
      </c>
      <c r="D17">
        <v>0</v>
      </c>
      <c r="E17" t="str">
        <v>Indexable</v>
      </c>
      <c r="F17">
        <v>0</v>
      </c>
      <c r="G17" t="str">
        <v>Aktivitas Civitas - PMB UTama</v>
      </c>
      <c r="H17">
        <v>29</v>
      </c>
      <c r="I17">
        <v>270</v>
      </c>
      <c r="J17">
        <v>0</v>
      </c>
      <c r="K17">
        <v>0</v>
      </c>
      <c r="L17">
        <v>0</v>
      </c>
      <c r="M17">
        <v>0</v>
      </c>
      <c r="N17">
        <v>0</v>
      </c>
      <c r="O17" t="str">
        <v>The Rapid Advancement of Digital Technology</v>
      </c>
      <c r="P17">
        <v>43</v>
      </c>
      <c r="Q17" t="str">
        <v>Democracy in Indonesia: Why It Feels Weak at the Grassroots</v>
      </c>
      <c r="R17">
        <v>59</v>
      </c>
      <c r="S17" t="str">
        <v>Berbagai Aktivitas Sivitas di Universitas Widyatama</v>
      </c>
      <c r="T17">
        <v>51</v>
      </c>
      <c r="U17" t="str">
        <v>Fasilitas</v>
      </c>
      <c r="V17">
        <v>9</v>
      </c>
      <c r="W17" t="str">
        <v>index, follow, max-image-preview:large, max-snippet:-1, max-video-preview:-1</v>
      </c>
      <c r="X17">
        <v>0</v>
      </c>
      <c r="Y17">
        <v>0</v>
      </c>
      <c r="Z17" t="str">
        <v>https://pmb.widyatama.ac.id/aktivitas-civitas/</v>
      </c>
      <c r="AA17">
        <v>0</v>
      </c>
      <c r="AB17">
        <v>0</v>
      </c>
      <c r="AC17">
        <v>0</v>
      </c>
      <c r="AD17">
        <v>0</v>
      </c>
      <c r="AE17">
        <v>0</v>
      </c>
      <c r="AF17">
        <v>152369</v>
      </c>
      <c r="AG17">
        <v>32837</v>
      </c>
      <c r="AH17">
        <v>3320960</v>
      </c>
      <c r="AI17">
        <v>1177297</v>
      </c>
      <c r="AJ17" t="str">
        <v>F</v>
      </c>
      <c r="AK17">
        <v>162</v>
      </c>
      <c r="AL17">
        <v>44</v>
      </c>
      <c r="AM17">
        <v>3682</v>
      </c>
      <c r="AN17">
        <v>31287</v>
      </c>
      <c r="AO17" t="str">
        <v>Hard</v>
      </c>
      <c r="AP17">
        <v>1351</v>
      </c>
      <c r="AQ17">
        <v>1</v>
      </c>
      <c r="AR17">
        <v>1</v>
      </c>
      <c r="AS17">
        <v>0</v>
      </c>
      <c r="AT17">
        <v>320</v>
      </c>
      <c r="AU17">
        <v>77</v>
      </c>
      <c r="AV17">
        <v>76</v>
      </c>
      <c r="AW17">
        <v>88510</v>
      </c>
      <c r="AX17">
        <v>122</v>
      </c>
      <c r="AY17">
        <v>35</v>
      </c>
      <c r="AZ17">
        <v>0</v>
      </c>
      <c r="BA17">
        <v>8</v>
      </c>
      <c r="BB17">
        <v>7</v>
      </c>
      <c r="BC17">
        <v>2</v>
      </c>
      <c r="BD17">
        <v>0</v>
      </c>
      <c r="BE17">
        <v>0</v>
      </c>
      <c r="BF17">
        <v>0</v>
      </c>
      <c r="BG17">
        <v>0</v>
      </c>
      <c r="BH17" t="str">
        <v>edfffc6c3beae9324d073c7621802369</v>
      </c>
      <c r="BI17" t="str">
        <v>0.101</v>
      </c>
      <c r="BJ17" t="str">
        <v>Saturday, 15-Aug-2026 09:56:34 GMT</v>
      </c>
      <c r="BK17">
        <v>0</v>
      </c>
      <c r="BL17">
        <v>0</v>
      </c>
      <c r="BM17">
        <v>0</v>
      </c>
      <c r="BN17" t="str">
        <v>en-US</v>
      </c>
      <c r="BO17" t="str">
        <v>None</v>
      </c>
      <c r="BP17">
        <v>0</v>
      </c>
      <c r="BQ17" t="str">
        <v>https://pmb.widyatama.ac.id/aktivitas-civitas/</v>
      </c>
      <c r="BR17">
        <v>46249.705937500003</v>
      </c>
      <c r="BZ17" t="str">
        <v>https://pmb.widyatama.ac.id/aktivitas-civitas/</v>
      </c>
      <c r="CA17" t="str">
        <v>Indexable</v>
      </c>
      <c r="CB17">
        <v>0</v>
      </c>
      <c r="CC17" t="str">
        <v>Other</v>
      </c>
      <c r="CD17" t="str">
        <v>Main PMB Website</v>
      </c>
      <c r="CE17" t="str">
        <v>Yes</v>
      </c>
      <c r="CI17" t="str">
        <v>https://online.pmb.widyatama.ac.id/register/kk</v>
      </c>
      <c r="CK17" t="str">
        <v>register</v>
      </c>
      <c r="CO17" t="str">
        <v>Homepage/System Root</v>
      </c>
      <c r="CP17">
        <f t="shared" si="1"/>
        <v>1</v>
      </c>
      <c r="CQ17" t="str" cm="1">
        <f t="array" ref="CQ17">_xlfn.LET(
_xlpm.s,LOWER(CO17),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Registration System</v>
      </c>
      <c r="CV17" t="str">
        <v>Campus Life</v>
      </c>
      <c r="DG17" t="str">
        <v>Campus Life</v>
      </c>
      <c r="DV17" t="str">
        <v>Core PMB Website</v>
      </c>
      <c r="DW17" t="str">
        <v>Yes</v>
      </c>
      <c r="EA17" t="str">
        <v>P2 - High</v>
      </c>
    </row>
    <row r="18" spans="1:131">
      <c r="A18" t="str">
        <v>https://pmb.widyatama.ac.id/program-pascasarjana/</v>
      </c>
      <c r="B18" t="str">
        <v>text/html; charset=UTF-8</v>
      </c>
      <c r="C18">
        <v>200</v>
      </c>
      <c r="D18">
        <v>0</v>
      </c>
      <c r="E18" t="str">
        <v>Indexable</v>
      </c>
      <c r="F18">
        <v>0</v>
      </c>
      <c r="G18" t="str">
        <v>Program Pascasarjana - PMB UTama</v>
      </c>
      <c r="H18">
        <v>32</v>
      </c>
      <c r="I18">
        <v>332</v>
      </c>
      <c r="J18">
        <v>0</v>
      </c>
      <c r="K18">
        <v>0</v>
      </c>
      <c r="L18">
        <v>0</v>
      </c>
      <c r="M18">
        <v>0</v>
      </c>
      <c r="N18">
        <v>0</v>
      </c>
      <c r="O18" t="str">
        <v>Program Pascasarjana Widyatama Bandung untuk Pengembangan Karier, Riset, dan Kepakaran</v>
      </c>
      <c r="P18">
        <v>86</v>
      </c>
      <c r="Q18">
        <v>0</v>
      </c>
      <c r="R18">
        <v>0</v>
      </c>
      <c r="S18" t="str">
        <v>Masih membandingkan S2, S3, atau program profesi?</v>
      </c>
      <c r="T18">
        <v>49</v>
      </c>
      <c r="U18" t="str">
        <v>Mulai Langkah Studi Pascasarjana di Widyatama</v>
      </c>
      <c r="V18">
        <v>45</v>
      </c>
      <c r="W18" t="str">
        <v>index, follow, max-image-preview:large, max-snippet:-1, max-video-preview:-1</v>
      </c>
      <c r="X18">
        <v>0</v>
      </c>
      <c r="Y18">
        <v>0</v>
      </c>
      <c r="Z18" t="str">
        <v>https://pmb.widyatama.ac.id/program-pascasarjana/</v>
      </c>
      <c r="AA18">
        <v>0</v>
      </c>
      <c r="AB18">
        <v>0</v>
      </c>
      <c r="AC18">
        <v>0</v>
      </c>
      <c r="AD18">
        <v>0</v>
      </c>
      <c r="AE18">
        <v>0</v>
      </c>
      <c r="AF18">
        <v>197423</v>
      </c>
      <c r="AG18">
        <v>41954</v>
      </c>
      <c r="AH18">
        <v>2177616</v>
      </c>
      <c r="AI18">
        <v>771976</v>
      </c>
      <c r="AJ18" t="str">
        <v>E</v>
      </c>
      <c r="AK18">
        <v>1045</v>
      </c>
      <c r="AL18">
        <v>179</v>
      </c>
      <c r="AM18">
        <v>5838</v>
      </c>
      <c r="AN18" t="str">
        <v>0.000</v>
      </c>
      <c r="AO18" t="str">
        <v>Very Hard</v>
      </c>
      <c r="AP18">
        <v>3595</v>
      </c>
      <c r="AQ18">
        <v>1</v>
      </c>
      <c r="AR18">
        <v>1</v>
      </c>
      <c r="AS18">
        <v>0</v>
      </c>
      <c r="AT18">
        <v>325</v>
      </c>
      <c r="AU18">
        <v>77</v>
      </c>
      <c r="AV18">
        <v>76</v>
      </c>
      <c r="AW18">
        <v>88510</v>
      </c>
      <c r="AX18">
        <v>134</v>
      </c>
      <c r="AY18">
        <v>30</v>
      </c>
      <c r="AZ18">
        <v>2</v>
      </c>
      <c r="BA18">
        <v>23</v>
      </c>
      <c r="BB18">
        <v>12</v>
      </c>
      <c r="BC18">
        <v>3</v>
      </c>
      <c r="BD18">
        <v>0</v>
      </c>
      <c r="BE18">
        <v>0</v>
      </c>
      <c r="BF18">
        <v>0</v>
      </c>
      <c r="BG18">
        <v>0</v>
      </c>
      <c r="BH18" t="str">
        <v>2f64f1d152046fa82dfa3568f4e801d5</v>
      </c>
      <c r="BI18" t="str">
        <v>0.111</v>
      </c>
      <c r="BJ18" t="str">
        <v>Saturday, 15-Aug-2026 09:56:37 GMT</v>
      </c>
      <c r="BK18">
        <v>0</v>
      </c>
      <c r="BL18">
        <v>0</v>
      </c>
      <c r="BM18">
        <v>0</v>
      </c>
      <c r="BN18" t="str">
        <v>en-US</v>
      </c>
      <c r="BO18" t="str">
        <v>None</v>
      </c>
      <c r="BP18">
        <v>0</v>
      </c>
      <c r="BQ18" t="str">
        <v>https://pmb.widyatama.ac.id/program-pascasarjana/</v>
      </c>
      <c r="BR18">
        <v>46249.705972222226</v>
      </c>
      <c r="BZ18" t="str">
        <v>https://pmb.widyatama.ac.id/program-pascasarjana/</v>
      </c>
      <c r="CA18" t="str">
        <v>Indexable</v>
      </c>
      <c r="CB18">
        <v>0</v>
      </c>
      <c r="CC18" t="str">
        <v>Program</v>
      </c>
      <c r="CD18" t="str">
        <v>Main PMB Website</v>
      </c>
      <c r="CE18" t="str">
        <v>Yes</v>
      </c>
      <c r="CI18" t="str">
        <v>https://online.pmb.widyatama.ac.id/register/s3</v>
      </c>
      <c r="CK18" t="str">
        <v>register</v>
      </c>
      <c r="CO18" t="str">
        <v>jenjang-pendidikan</v>
      </c>
      <c r="CP18">
        <f t="shared" si="1"/>
        <v>1</v>
      </c>
      <c r="CQ18" t="str" cm="1">
        <f t="array" ref="CQ18">_xlfn.LET(
_xlpm.s,LOWER(CO18),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Information</v>
      </c>
      <c r="CV18" t="str">
        <v>Program</v>
      </c>
      <c r="DG18" t="str">
        <v>Program</v>
      </c>
      <c r="DV18" t="str">
        <v>Core PMB Website</v>
      </c>
      <c r="DW18" t="str">
        <v>Yes</v>
      </c>
      <c r="EA18" t="str">
        <v>P1 - Critical</v>
      </c>
    </row>
    <row r="19" spans="1:131">
      <c r="A19" t="str">
        <v>https://pmb.widyatama.ac.id/cek-jalur-pendaftaran/</v>
      </c>
      <c r="B19" t="str">
        <v>text/html; charset=UTF-8</v>
      </c>
      <c r="C19">
        <v>200</v>
      </c>
      <c r="D19">
        <v>0</v>
      </c>
      <c r="E19" t="str">
        <v>Indexable</v>
      </c>
      <c r="F19">
        <v>0</v>
      </c>
      <c r="G19" t="str">
        <v>Cek Jalur Pendaftaran - PMB UTama</v>
      </c>
      <c r="H19">
        <v>33</v>
      </c>
      <c r="I19">
        <v>326</v>
      </c>
      <c r="J19">
        <v>0</v>
      </c>
      <c r="K19">
        <v>0</v>
      </c>
      <c r="L19">
        <v>0</v>
      </c>
      <c r="M19">
        <v>0</v>
      </c>
      <c r="N19">
        <v>0</v>
      </c>
      <c r="O19" t="str">
        <v>Kalkulator Jalur &amp; Beasiswa PMB Universitas Widyatama</v>
      </c>
      <c r="P19">
        <v>53</v>
      </c>
      <c r="Q19">
        <v>0</v>
      </c>
      <c r="R19">
        <v>0</v>
      </c>
      <c r="S19" t="str">
        <v>Gunakan hasil simulasi untuk menentukan langkah pendaftaran berikutnya.</v>
      </c>
      <c r="T19">
        <v>71</v>
      </c>
      <c r="U19" t="str">
        <v>Gunakan Data yang Sudah Dimiliki Calon Mahasiswa</v>
      </c>
      <c r="V19">
        <v>48</v>
      </c>
      <c r="W19" t="str">
        <v>index, follow, max-image-preview:large, max-snippet:-1, max-video-preview:-1</v>
      </c>
      <c r="X19">
        <v>0</v>
      </c>
      <c r="Y19">
        <v>0</v>
      </c>
      <c r="Z19" t="str">
        <v>https://pmb.widyatama.ac.id/cek-jalur-pendaftaran/</v>
      </c>
      <c r="AA19">
        <v>0</v>
      </c>
      <c r="AB19">
        <v>0</v>
      </c>
      <c r="AC19">
        <v>0</v>
      </c>
      <c r="AD19">
        <v>0</v>
      </c>
      <c r="AE19">
        <v>0</v>
      </c>
      <c r="AF19">
        <v>188679</v>
      </c>
      <c r="AG19">
        <v>42962</v>
      </c>
      <c r="AH19">
        <v>1135376</v>
      </c>
      <c r="AI19">
        <v>402496</v>
      </c>
      <c r="AJ19" t="str">
        <v>C</v>
      </c>
      <c r="AK19">
        <v>596</v>
      </c>
      <c r="AL19">
        <v>154</v>
      </c>
      <c r="AM19">
        <v>3870</v>
      </c>
      <c r="AN19">
        <v>3046</v>
      </c>
      <c r="AO19" t="str">
        <v>Very Hard</v>
      </c>
      <c r="AP19">
        <v>2370</v>
      </c>
      <c r="AQ19">
        <v>1</v>
      </c>
      <c r="AR19">
        <v>1</v>
      </c>
      <c r="AS19">
        <v>0</v>
      </c>
      <c r="AT19">
        <v>159</v>
      </c>
      <c r="AU19">
        <v>77</v>
      </c>
      <c r="AV19">
        <v>77</v>
      </c>
      <c r="AW19">
        <v>88510</v>
      </c>
      <c r="AX19">
        <v>113</v>
      </c>
      <c r="AY19">
        <v>28</v>
      </c>
      <c r="AZ19">
        <v>0</v>
      </c>
      <c r="BA19">
        <v>9</v>
      </c>
      <c r="BB19">
        <v>8</v>
      </c>
      <c r="BC19">
        <v>2</v>
      </c>
      <c r="BD19">
        <v>0</v>
      </c>
      <c r="BE19">
        <v>0</v>
      </c>
      <c r="BF19">
        <v>0</v>
      </c>
      <c r="BG19">
        <v>0</v>
      </c>
      <c r="BH19" t="str">
        <v>5190830b49f82338c8a28484ea38b206</v>
      </c>
      <c r="BI19">
        <v>2479</v>
      </c>
      <c r="BJ19" t="str">
        <v>Saturday, 15-Aug-2026 09:56:46 GMT</v>
      </c>
      <c r="BK19">
        <v>0</v>
      </c>
      <c r="BL19">
        <v>0</v>
      </c>
      <c r="BM19">
        <v>0</v>
      </c>
      <c r="BN19" t="str">
        <v>en-US</v>
      </c>
      <c r="BO19" t="str">
        <v>2.0</v>
      </c>
      <c r="BP19">
        <v>0</v>
      </c>
      <c r="BQ19" t="str">
        <v>https://pmb.widyatama.ac.id/cek-jalur-pendaftaran/</v>
      </c>
      <c r="BR19">
        <v>46249.706076388888</v>
      </c>
      <c r="BZ19" t="str">
        <v>https://pmb.widyatama.ac.id/cek-jalur-pendaftaran/</v>
      </c>
      <c r="CA19" t="str">
        <v>Indexable</v>
      </c>
      <c r="CB19">
        <v>0</v>
      </c>
      <c r="CC19" t="str">
        <v>Other</v>
      </c>
      <c r="CD19" t="str">
        <v>Main PMB Website</v>
      </c>
      <c r="CE19" t="str">
        <v>Yes</v>
      </c>
      <c r="CI19" t="str">
        <v>https://pmb.widyatama.ac.id/aktivitas-civitas/3/</v>
      </c>
      <c r="CK19" t="str">
        <v>aktivitas-civitas</v>
      </c>
      <c r="CO19" t="str">
        <v>mahasiswa-internasional</v>
      </c>
      <c r="CP19">
        <f t="shared" si="1"/>
        <v>1</v>
      </c>
      <c r="CQ19" t="str" cm="1">
        <f t="array" ref="CQ19">_xlfn.LET(
_xlpm.s,LOWER(CO19),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International</v>
      </c>
      <c r="CV19" t="str">
        <v>Admission</v>
      </c>
      <c r="DG19" t="str">
        <v>Admission</v>
      </c>
      <c r="DV19" t="str">
        <v>Core PMB Website</v>
      </c>
      <c r="DW19" t="str">
        <v>Yes</v>
      </c>
      <c r="EA19" t="str">
        <v>P1 - Critical</v>
      </c>
    </row>
    <row r="20" spans="1:131">
      <c r="A20" t="str">
        <v>https://pmb.widyatama.ac.id/program-reguler/</v>
      </c>
      <c r="B20" t="str">
        <v>text/html; charset=UTF-8</v>
      </c>
      <c r="C20">
        <v>200</v>
      </c>
      <c r="D20">
        <v>0</v>
      </c>
      <c r="E20" t="str">
        <v>Indexable</v>
      </c>
      <c r="F20">
        <v>0</v>
      </c>
      <c r="G20" t="str">
        <v>Program Reguler - PMB UTama</v>
      </c>
      <c r="H20">
        <v>27</v>
      </c>
      <c r="I20">
        <v>276</v>
      </c>
      <c r="J20">
        <v>0</v>
      </c>
      <c r="K20">
        <v>0</v>
      </c>
      <c r="L20">
        <v>0</v>
      </c>
      <c r="M20">
        <v>0</v>
      </c>
      <c r="N20">
        <v>0</v>
      </c>
      <c r="O20" t="str">
        <v>Program Reguler Widyatama Bandung: Kuliah D3, D4, dan S1 untuk Lulusan SMA/SMK/MA</v>
      </c>
      <c r="P20">
        <v>81</v>
      </c>
      <c r="Q20">
        <v>0</v>
      </c>
      <c r="R20">
        <v>0</v>
      </c>
      <c r="S20" t="str">
        <v>Masih bingung memilih prodi, jalur, atau estimasi biaya?</v>
      </c>
      <c r="T20">
        <v>56</v>
      </c>
      <c r="U20" t="str">
        <v>Mulai Rencanakan Kuliah Reguler di Widyatama</v>
      </c>
      <c r="V20">
        <v>44</v>
      </c>
      <c r="W20" t="str">
        <v>index, follow, max-image-preview:large, max-snippet:-1, max-video-preview:-1</v>
      </c>
      <c r="X20">
        <v>0</v>
      </c>
      <c r="Y20">
        <v>0</v>
      </c>
      <c r="Z20" t="str">
        <v>https://pmb.widyatama.ac.id/program-reguler/</v>
      </c>
      <c r="AA20">
        <v>0</v>
      </c>
      <c r="AB20">
        <v>0</v>
      </c>
      <c r="AC20">
        <v>0</v>
      </c>
      <c r="AD20">
        <v>0</v>
      </c>
      <c r="AE20">
        <v>0</v>
      </c>
      <c r="AF20">
        <v>213922</v>
      </c>
      <c r="AG20">
        <v>44908</v>
      </c>
      <c r="AH20">
        <v>2867016</v>
      </c>
      <c r="AI20">
        <v>1016372</v>
      </c>
      <c r="AJ20" t="str">
        <v>F</v>
      </c>
      <c r="AK20">
        <v>1433</v>
      </c>
      <c r="AL20">
        <v>254</v>
      </c>
      <c r="AM20">
        <v>5642</v>
      </c>
      <c r="AN20">
        <v>3453</v>
      </c>
      <c r="AO20" t="str">
        <v>Very Hard</v>
      </c>
      <c r="AP20">
        <v>4231</v>
      </c>
      <c r="AQ20">
        <v>1</v>
      </c>
      <c r="AR20">
        <v>1</v>
      </c>
      <c r="AS20">
        <v>0</v>
      </c>
      <c r="AT20">
        <v>320</v>
      </c>
      <c r="AU20">
        <v>77</v>
      </c>
      <c r="AV20">
        <v>76</v>
      </c>
      <c r="AW20">
        <v>88510</v>
      </c>
      <c r="AX20">
        <v>178</v>
      </c>
      <c r="AY20">
        <v>50</v>
      </c>
      <c r="AZ20">
        <v>0</v>
      </c>
      <c r="BA20">
        <v>19</v>
      </c>
      <c r="BB20">
        <v>8</v>
      </c>
      <c r="BC20">
        <v>3</v>
      </c>
      <c r="BD20">
        <v>0</v>
      </c>
      <c r="BE20">
        <v>0</v>
      </c>
      <c r="BF20">
        <v>0</v>
      </c>
      <c r="BG20">
        <v>0</v>
      </c>
      <c r="BH20" t="str">
        <v>ee53e78bd236478123b92c94ffa2f6c9</v>
      </c>
      <c r="BI20" t="str">
        <v>0.119</v>
      </c>
      <c r="BJ20" t="str">
        <v>Saturday, 15-Aug-2026 09:56:40 GMT</v>
      </c>
      <c r="BK20">
        <v>0</v>
      </c>
      <c r="BL20">
        <v>0</v>
      </c>
      <c r="BM20">
        <v>0</v>
      </c>
      <c r="BN20" t="str">
        <v>en-US</v>
      </c>
      <c r="BO20" t="str">
        <v>None</v>
      </c>
      <c r="BP20">
        <v>0</v>
      </c>
      <c r="BQ20" t="str">
        <v>https://pmb.widyatama.ac.id/program-reguler/</v>
      </c>
      <c r="BR20">
        <v>46249.706006944441</v>
      </c>
      <c r="BZ20" t="str">
        <v>https://pmb.widyatama.ac.id/program-reguler/</v>
      </c>
      <c r="CA20" t="str">
        <v>Indexable</v>
      </c>
      <c r="CB20">
        <v>0</v>
      </c>
      <c r="CC20" t="str">
        <v>Program</v>
      </c>
      <c r="CD20" t="str">
        <v>Main PMB Website</v>
      </c>
      <c r="CE20" t="str">
        <v>Yes</v>
      </c>
      <c r="CI20" t="str">
        <v>https://pmb.widyatama.ac.id/aktivitas-civitas/2/</v>
      </c>
      <c r="CK20" t="str">
        <v>aktivitas-civitas</v>
      </c>
      <c r="CO20" t="str">
        <v>organisasi-kemahasiswaan</v>
      </c>
      <c r="CP20">
        <f t="shared" si="1"/>
        <v>1</v>
      </c>
      <c r="CQ20" t="str" cm="1">
        <f t="array" ref="CQ20">_xlfn.LET(
_xlpm.s,LOWER(CO20),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Campus Life</v>
      </c>
      <c r="CV20" t="str">
        <v>Program</v>
      </c>
      <c r="DG20" t="str">
        <v>Program</v>
      </c>
      <c r="DV20" t="str">
        <v>Core PMB Website</v>
      </c>
      <c r="DW20" t="str">
        <v>Yes</v>
      </c>
      <c r="EA20" t="str">
        <v>P1 - Critical</v>
      </c>
    </row>
    <row r="21" spans="1:131">
      <c r="A21" t="str">
        <v>https://pmb.widyatama.ac.id/program-kelas-karyawan/</v>
      </c>
      <c r="B21" t="str">
        <v>text/html; charset=UTF-8</v>
      </c>
      <c r="C21">
        <v>200</v>
      </c>
      <c r="D21">
        <v>0</v>
      </c>
      <c r="E21" t="str">
        <v>Indexable</v>
      </c>
      <c r="F21">
        <v>0</v>
      </c>
      <c r="G21" t="str">
        <v>Program Kelas Karyawan - PMB UTama</v>
      </c>
      <c r="H21">
        <v>34</v>
      </c>
      <c r="I21">
        <v>353</v>
      </c>
      <c r="J21">
        <v>0</v>
      </c>
      <c r="K21">
        <v>0</v>
      </c>
      <c r="L21">
        <v>0</v>
      </c>
      <c r="M21">
        <v>0</v>
      </c>
      <c r="N21">
        <v>0</v>
      </c>
      <c r="O21" t="str">
        <v>Program Kelas Karyawan Widyatama Bandung untuk Kuliah Sambil Kerja</v>
      </c>
      <c r="P21">
        <v>66</v>
      </c>
      <c r="Q21">
        <v>0</v>
      </c>
      <c r="R21">
        <v>0</v>
      </c>
      <c r="S21" t="str">
        <v>Masih ragu jadwal kuliah cocok dengan pekerjaan Anda?</v>
      </c>
      <c r="T21">
        <v>53</v>
      </c>
      <c r="U21" t="str">
        <v>Mulai Langkah Naik Level Karier dengan Kelas Karyawan Widyatama</v>
      </c>
      <c r="V21">
        <v>63</v>
      </c>
      <c r="W21" t="str">
        <v>index, follow, max-image-preview:large, max-snippet:-1, max-video-preview:-1</v>
      </c>
      <c r="X21">
        <v>0</v>
      </c>
      <c r="Y21">
        <v>0</v>
      </c>
      <c r="Z21" t="str">
        <v>https://pmb.widyatama.ac.id/program-kelas-karyawan/</v>
      </c>
      <c r="AA21">
        <v>0</v>
      </c>
      <c r="AB21">
        <v>0</v>
      </c>
      <c r="AC21">
        <v>0</v>
      </c>
      <c r="AD21">
        <v>0</v>
      </c>
      <c r="AE21">
        <v>0</v>
      </c>
      <c r="AF21">
        <v>204815</v>
      </c>
      <c r="AG21">
        <v>42450</v>
      </c>
      <c r="AH21">
        <v>2487114</v>
      </c>
      <c r="AI21">
        <v>881694</v>
      </c>
      <c r="AJ21" t="str">
        <v>F</v>
      </c>
      <c r="AK21">
        <v>1636</v>
      </c>
      <c r="AL21">
        <v>300</v>
      </c>
      <c r="AM21">
        <v>5453</v>
      </c>
      <c r="AN21">
        <v>1125</v>
      </c>
      <c r="AO21" t="str">
        <v>Very Hard</v>
      </c>
      <c r="AP21">
        <v>4859</v>
      </c>
      <c r="AQ21">
        <v>1</v>
      </c>
      <c r="AR21">
        <v>1</v>
      </c>
      <c r="AS21">
        <v>0</v>
      </c>
      <c r="AT21">
        <v>318</v>
      </c>
      <c r="AU21">
        <v>77</v>
      </c>
      <c r="AV21">
        <v>76</v>
      </c>
      <c r="AW21">
        <v>88510</v>
      </c>
      <c r="AX21">
        <v>173</v>
      </c>
      <c r="AY21">
        <v>46</v>
      </c>
      <c r="AZ21">
        <v>0</v>
      </c>
      <c r="BA21">
        <v>23</v>
      </c>
      <c r="BB21">
        <v>9</v>
      </c>
      <c r="BC21">
        <v>4</v>
      </c>
      <c r="BD21">
        <v>0</v>
      </c>
      <c r="BE21">
        <v>0</v>
      </c>
      <c r="BF21">
        <v>0</v>
      </c>
      <c r="BG21">
        <v>0</v>
      </c>
      <c r="BH21" t="str">
        <v>16880b60e16c1d453dda67e1bcbdce3f</v>
      </c>
      <c r="BI21">
        <v>1907</v>
      </c>
      <c r="BJ21" t="str">
        <v>Saturday, 15-Aug-2026 09:56:49 GMT</v>
      </c>
      <c r="BK21">
        <v>0</v>
      </c>
      <c r="BL21">
        <v>0</v>
      </c>
      <c r="BM21">
        <v>0</v>
      </c>
      <c r="BN21" t="str">
        <v>en-US</v>
      </c>
      <c r="BO21" t="str">
        <v>2.0</v>
      </c>
      <c r="BP21">
        <v>0</v>
      </c>
      <c r="BQ21" t="str">
        <v>https://pmb.widyatama.ac.id/program-kelas-karyawan/</v>
      </c>
      <c r="BR21">
        <v>46249.706111111111</v>
      </c>
      <c r="BZ21" t="str">
        <v>https://pmb.widyatama.ac.id/program-kelas-karyawan/</v>
      </c>
      <c r="CA21" t="str">
        <v>Indexable</v>
      </c>
      <c r="CB21">
        <v>0</v>
      </c>
      <c r="CC21" t="str">
        <v>Program</v>
      </c>
      <c r="CD21" t="str">
        <v>Main PMB Website</v>
      </c>
      <c r="CE21" t="str">
        <v>Yes</v>
      </c>
      <c r="CI21" t="str">
        <v>https://online.pmb.widyatama.ac.id/auth/login</v>
      </c>
      <c r="CK21" t="str">
        <v>auth</v>
      </c>
      <c r="CO21" t="str">
        <v>output-lulusan</v>
      </c>
      <c r="CP21">
        <f t="shared" si="1"/>
        <v>1</v>
      </c>
      <c r="CQ21" t="str" cm="1">
        <f t="array" ref="CQ21">_xlfn.LET(
_xlpm.s,LOWER(CO21),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Information</v>
      </c>
      <c r="CV21" t="str">
        <v>Program</v>
      </c>
      <c r="DG21" t="str">
        <v>Program</v>
      </c>
      <c r="DV21" t="str">
        <v>Core PMB Website</v>
      </c>
      <c r="DW21" t="str">
        <v>Yes</v>
      </c>
      <c r="EA21" t="str">
        <v>P1 - Critical</v>
      </c>
    </row>
    <row r="22" spans="1:131">
      <c r="A22" t="str">
        <v>https://pmb.widyatama.ac.id/fasilitas/</v>
      </c>
      <c r="B22" t="str">
        <v>text/html; charset=UTF-8</v>
      </c>
      <c r="C22">
        <v>200</v>
      </c>
      <c r="D22">
        <v>0</v>
      </c>
      <c r="E22" t="str">
        <v>Indexable</v>
      </c>
      <c r="F22">
        <v>0</v>
      </c>
      <c r="G22" t="str">
        <v>Fasilitas - PMB UTama</v>
      </c>
      <c r="H22">
        <v>21</v>
      </c>
      <c r="I22">
        <v>203</v>
      </c>
      <c r="J22">
        <v>0</v>
      </c>
      <c r="K22">
        <v>0</v>
      </c>
      <c r="L22">
        <v>0</v>
      </c>
      <c r="M22">
        <v>0</v>
      </c>
      <c r="N22">
        <v>0</v>
      </c>
      <c r="O22" t="str">
        <v>Fasilitas Universitas Widyatama</v>
      </c>
      <c r="P22">
        <v>31</v>
      </c>
      <c r="Q22">
        <v>0</v>
      </c>
      <c r="R22">
        <v>0</v>
      </c>
      <c r="S22" t="str">
        <v>Lingkungan kampus dirancang untuk mendukung belajar, berkolaborasi, dan berkembang.</v>
      </c>
      <c r="T22">
        <v>83</v>
      </c>
      <c r="U22" t="str">
        <v>Jelajahi Fasilitas Berdasarkan Kebutuhan</v>
      </c>
      <c r="V22">
        <v>40</v>
      </c>
      <c r="W22" t="str">
        <v>index, follow, max-image-preview:large, max-snippet:-1, max-video-preview:-1</v>
      </c>
      <c r="X22">
        <v>0</v>
      </c>
      <c r="Y22">
        <v>0</v>
      </c>
      <c r="Z22" t="str">
        <v>https://pmb.widyatama.ac.id/fasilitas/</v>
      </c>
      <c r="AA22">
        <v>0</v>
      </c>
      <c r="AB22">
        <v>0</v>
      </c>
      <c r="AC22">
        <v>0</v>
      </c>
      <c r="AD22">
        <v>0</v>
      </c>
      <c r="AE22">
        <v>0</v>
      </c>
      <c r="AF22">
        <v>175811</v>
      </c>
      <c r="AG22">
        <v>37161</v>
      </c>
      <c r="AH22">
        <v>25538029</v>
      </c>
      <c r="AI22">
        <v>9053359</v>
      </c>
      <c r="AJ22" t="str">
        <v>F</v>
      </c>
      <c r="AK22">
        <v>759</v>
      </c>
      <c r="AL22">
        <v>190</v>
      </c>
      <c r="AM22">
        <v>3995</v>
      </c>
      <c r="AN22" t="str">
        <v>0.000</v>
      </c>
      <c r="AO22" t="str">
        <v>Very Hard</v>
      </c>
      <c r="AP22">
        <v>3290</v>
      </c>
      <c r="AQ22">
        <v>1</v>
      </c>
      <c r="AR22">
        <v>1</v>
      </c>
      <c r="AS22">
        <v>0</v>
      </c>
      <c r="AT22">
        <v>326</v>
      </c>
      <c r="AU22">
        <v>77</v>
      </c>
      <c r="AV22">
        <v>81</v>
      </c>
      <c r="AW22">
        <v>88510</v>
      </c>
      <c r="AX22">
        <v>132</v>
      </c>
      <c r="AY22">
        <v>28</v>
      </c>
      <c r="AZ22">
        <v>0</v>
      </c>
      <c r="BA22">
        <v>8</v>
      </c>
      <c r="BB22">
        <v>7</v>
      </c>
      <c r="BC22">
        <v>2</v>
      </c>
      <c r="BD22">
        <v>0</v>
      </c>
      <c r="BE22">
        <v>0</v>
      </c>
      <c r="BF22">
        <v>0</v>
      </c>
      <c r="BG22">
        <v>0</v>
      </c>
      <c r="BH22" t="str">
        <v>31247a5ea2b419d3d9f136a97c7c14b8</v>
      </c>
      <c r="BI22" t="str">
        <v>0.954</v>
      </c>
      <c r="BJ22" t="str">
        <v>Saturday, 15-Aug-2026 09:56:51 GMT</v>
      </c>
      <c r="BK22">
        <v>0</v>
      </c>
      <c r="BL22">
        <v>0</v>
      </c>
      <c r="BM22">
        <v>0</v>
      </c>
      <c r="BN22" t="str">
        <v>en-US</v>
      </c>
      <c r="BO22" t="str">
        <v>2.0</v>
      </c>
      <c r="BP22">
        <v>0</v>
      </c>
      <c r="BQ22" t="str">
        <v>https://pmb.widyatama.ac.id/fasilitas/</v>
      </c>
      <c r="BR22">
        <v>46249.706134259257</v>
      </c>
      <c r="BZ22" t="str">
        <v>https://pmb.widyatama.ac.id/fasilitas/</v>
      </c>
      <c r="CA22" t="str">
        <v>Indexable</v>
      </c>
      <c r="CB22">
        <v>0</v>
      </c>
      <c r="CC22" t="str">
        <v>Other</v>
      </c>
      <c r="CD22" t="str">
        <v>Main PMB Website</v>
      </c>
      <c r="CE22" t="str">
        <v>Yes</v>
      </c>
      <c r="CI22" t="str">
        <v>https://pmb.widyatama.ac.id/democracy-in-indonesia-why-it-feels-weak-at-the-grassroots/</v>
      </c>
      <c r="CK22" t="str">
        <v>democracy-in-indonesia-why-it-feels-weak-at-the-grassroots</v>
      </c>
      <c r="CO22" t="str">
        <v>petunjuk-pendaftaran</v>
      </c>
      <c r="CP22">
        <f t="shared" si="1"/>
        <v>1</v>
      </c>
      <c r="CQ22" t="str" cm="1">
        <f t="array" ref="CQ22">_xlfn.LET(
_xlpm.s,LOWER(CO22),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Admission</v>
      </c>
      <c r="CV22" t="str">
        <v>Campus Life</v>
      </c>
      <c r="DG22" t="str">
        <v>Campus Life</v>
      </c>
      <c r="DV22" t="str">
        <v>Core PMB Website</v>
      </c>
      <c r="DW22" t="str">
        <v>Yes</v>
      </c>
      <c r="EA22" t="str">
        <v>P2 - High</v>
      </c>
    </row>
    <row r="23" spans="1:131">
      <c r="A23" t="str">
        <v>https://pmb.widyatama.ac.id/jalur-seleksi/</v>
      </c>
      <c r="B23" t="str">
        <v>text/html; charset=UTF-8</v>
      </c>
      <c r="C23">
        <v>200</v>
      </c>
      <c r="D23">
        <v>0</v>
      </c>
      <c r="E23" t="str">
        <v>Indexable</v>
      </c>
      <c r="F23">
        <v>0</v>
      </c>
      <c r="G23" t="str">
        <v>Jalur Seleksi - PMB UTama</v>
      </c>
      <c r="H23">
        <v>25</v>
      </c>
      <c r="I23">
        <v>241</v>
      </c>
      <c r="J23">
        <v>0</v>
      </c>
      <c r="K23">
        <v>0</v>
      </c>
      <c r="L23">
        <v>0</v>
      </c>
      <c r="M23">
        <v>0</v>
      </c>
      <c r="N23">
        <v>0</v>
      </c>
      <c r="O23" t="str">
        <v>Jalur Seleksi Universitas Widyatama</v>
      </c>
      <c r="P23">
        <v>35</v>
      </c>
      <c r="Q23">
        <v>0</v>
      </c>
      <c r="R23">
        <v>0</v>
      </c>
      <c r="S23" t="str">
        <v>Pilih jenjang dulu, lalu bandingkan jalur yang tersedia.</v>
      </c>
      <c r="T23">
        <v>56</v>
      </c>
      <c r="U23" t="str">
        <v>Jalur Mana yang Ingin Anda Lihat?</v>
      </c>
      <c r="V23">
        <v>33</v>
      </c>
      <c r="W23" t="str">
        <v>index, follow, max-image-preview:large, max-snippet:-1, max-video-preview:-1</v>
      </c>
      <c r="X23">
        <v>0</v>
      </c>
      <c r="Y23">
        <v>0</v>
      </c>
      <c r="Z23" t="str">
        <v>https://pmb.widyatama.ac.id/jalur-seleksi/</v>
      </c>
      <c r="AA23">
        <v>0</v>
      </c>
      <c r="AB23">
        <v>0</v>
      </c>
      <c r="AC23">
        <v>0</v>
      </c>
      <c r="AD23">
        <v>0</v>
      </c>
      <c r="AE23">
        <v>0</v>
      </c>
      <c r="AF23">
        <v>165035</v>
      </c>
      <c r="AG23">
        <v>36227</v>
      </c>
      <c r="AH23">
        <v>3098115</v>
      </c>
      <c r="AI23">
        <v>1098297</v>
      </c>
      <c r="AJ23" t="str">
        <v>F</v>
      </c>
      <c r="AK23">
        <v>504</v>
      </c>
      <c r="AL23">
        <v>114</v>
      </c>
      <c r="AM23">
        <v>4421</v>
      </c>
      <c r="AN23">
        <v>11494</v>
      </c>
      <c r="AO23" t="str">
        <v>Very Hard</v>
      </c>
      <c r="AP23">
        <v>2302</v>
      </c>
      <c r="AQ23">
        <v>1</v>
      </c>
      <c r="AR23">
        <v>1</v>
      </c>
      <c r="AS23">
        <v>0</v>
      </c>
      <c r="AT23">
        <v>395</v>
      </c>
      <c r="AU23">
        <v>77</v>
      </c>
      <c r="AV23">
        <v>81</v>
      </c>
      <c r="AW23">
        <v>88510</v>
      </c>
      <c r="AX23">
        <v>136</v>
      </c>
      <c r="AY23">
        <v>39</v>
      </c>
      <c r="AZ23">
        <v>0</v>
      </c>
      <c r="BA23">
        <v>15</v>
      </c>
      <c r="BB23">
        <v>8</v>
      </c>
      <c r="BC23">
        <v>3</v>
      </c>
      <c r="BD23">
        <v>0</v>
      </c>
      <c r="BE23">
        <v>0</v>
      </c>
      <c r="BF23">
        <v>0</v>
      </c>
      <c r="BG23">
        <v>0</v>
      </c>
      <c r="BH23" t="str">
        <v>7883d95a0ab8b109078fff5ef7bd12d7</v>
      </c>
      <c r="BI23" t="str">
        <v>0.077</v>
      </c>
      <c r="BJ23" t="str">
        <v>Saturday, 15-Aug-2026 09:56:42 GMT</v>
      </c>
      <c r="BK23">
        <v>0</v>
      </c>
      <c r="BL23">
        <v>0</v>
      </c>
      <c r="BM23">
        <v>0</v>
      </c>
      <c r="BN23" t="str">
        <v>en-US</v>
      </c>
      <c r="BO23" t="str">
        <v>None</v>
      </c>
      <c r="BP23">
        <v>0</v>
      </c>
      <c r="BQ23" t="str">
        <v>https://pmb.widyatama.ac.id/jalur-seleksi/</v>
      </c>
      <c r="BR23">
        <v>46249.706030092595</v>
      </c>
      <c r="BZ23" t="str">
        <v>https://pmb.widyatama.ac.id/jalur-seleksi/</v>
      </c>
      <c r="CA23" t="str">
        <v>Indexable</v>
      </c>
      <c r="CB23">
        <v>0</v>
      </c>
      <c r="CC23" t="str">
        <v>Admission</v>
      </c>
      <c r="CD23" t="str">
        <v>Main PMB Website</v>
      </c>
      <c r="CE23" t="str">
        <v>Yes</v>
      </c>
      <c r="CI23" t="str">
        <v>https://pmb.widyatama.ac.id/2025/09/19/</v>
      </c>
      <c r="CK23" t="str">
        <v>2025</v>
      </c>
      <c r="CO23" t="str">
        <v>privacy-policy</v>
      </c>
      <c r="CP23">
        <f t="shared" si="1"/>
        <v>1</v>
      </c>
      <c r="CQ23" t="str" cm="1">
        <f t="array" ref="CQ23">_xlfn.LET(
_xlpm.s,LOWER(CO23),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Policy</v>
      </c>
      <c r="CV23" t="str">
        <v>Admission</v>
      </c>
      <c r="DG23" t="str">
        <v>Admission</v>
      </c>
      <c r="DV23" t="str">
        <v>Core PMB Website</v>
      </c>
      <c r="DW23" t="str">
        <v>Yes</v>
      </c>
      <c r="EA23" t="str">
        <v>P1 - Critical</v>
      </c>
    </row>
    <row r="24" spans="1:131">
      <c r="A24" t="str">
        <v>https://pmb.widyatama.ac.id/biaya-kuliah-rpl/</v>
      </c>
      <c r="B24" t="str">
        <v>text/html; charset=UTF-8</v>
      </c>
      <c r="C24">
        <v>200</v>
      </c>
      <c r="D24">
        <v>0</v>
      </c>
      <c r="E24" t="str">
        <v>Indexable</v>
      </c>
      <c r="F24">
        <v>0</v>
      </c>
      <c r="G24" t="str">
        <v>Biaya Kuliah RPL - PMB UTama</v>
      </c>
      <c r="H24">
        <v>28</v>
      </c>
      <c r="I24">
        <v>278</v>
      </c>
      <c r="J24">
        <v>0</v>
      </c>
      <c r="K24">
        <v>0</v>
      </c>
      <c r="L24">
        <v>0</v>
      </c>
      <c r="M24">
        <v>0</v>
      </c>
      <c r="N24">
        <v>0</v>
      </c>
      <c r="O24" t="str">
        <v>Biaya Kuliah RPL Widyatama Bandung 2026/2027</v>
      </c>
      <c r="P24">
        <v>44</v>
      </c>
      <c r="Q24">
        <v>0</v>
      </c>
      <c r="R24">
        <v>0</v>
      </c>
      <c r="S24" t="str">
        <v>RPL membuat biaya lebih relevan dengan SKS yang masih perlu ditempuh</v>
      </c>
      <c r="T24">
        <v>68</v>
      </c>
      <c r="U24" t="str">
        <v>Simulasi Biaya Program RPL</v>
      </c>
      <c r="V24">
        <v>26</v>
      </c>
      <c r="W24" t="str">
        <v>index, follow, max-image-preview:large, max-snippet:-1, max-video-preview:-1</v>
      </c>
      <c r="X24">
        <v>0</v>
      </c>
      <c r="Y24">
        <v>0</v>
      </c>
      <c r="Z24" t="str">
        <v>https://pmb.widyatama.ac.id/biaya-kuliah-rpl/</v>
      </c>
      <c r="AA24">
        <v>0</v>
      </c>
      <c r="AB24">
        <v>0</v>
      </c>
      <c r="AC24">
        <v>0</v>
      </c>
      <c r="AD24">
        <v>0</v>
      </c>
      <c r="AE24">
        <v>0</v>
      </c>
      <c r="AF24">
        <v>248326</v>
      </c>
      <c r="AG24">
        <v>54580</v>
      </c>
      <c r="AH24">
        <v>2441722</v>
      </c>
      <c r="AI24">
        <v>865603</v>
      </c>
      <c r="AJ24" t="str">
        <v>F</v>
      </c>
      <c r="AK24">
        <v>1450</v>
      </c>
      <c r="AL24">
        <v>249</v>
      </c>
      <c r="AM24">
        <v>5823</v>
      </c>
      <c r="AN24">
        <v>41118</v>
      </c>
      <c r="AO24" t="str">
        <v>Hard</v>
      </c>
      <c r="AP24">
        <v>3832</v>
      </c>
      <c r="AQ24">
        <v>1</v>
      </c>
      <c r="AR24">
        <v>1</v>
      </c>
      <c r="AS24">
        <v>0</v>
      </c>
      <c r="AT24">
        <v>335</v>
      </c>
      <c r="AU24">
        <v>77</v>
      </c>
      <c r="AV24">
        <v>76</v>
      </c>
      <c r="AW24">
        <v>88510</v>
      </c>
      <c r="AX24">
        <v>130</v>
      </c>
      <c r="AY24">
        <v>30</v>
      </c>
      <c r="AZ24">
        <v>1</v>
      </c>
      <c r="BA24">
        <v>16</v>
      </c>
      <c r="BB24">
        <v>8</v>
      </c>
      <c r="BC24">
        <v>3</v>
      </c>
      <c r="BD24">
        <v>0</v>
      </c>
      <c r="BE24">
        <v>0</v>
      </c>
      <c r="BF24">
        <v>0</v>
      </c>
      <c r="BG24">
        <v>0</v>
      </c>
      <c r="BH24" t="str">
        <v>31f1b50eafcdb354522e04346ff010a2</v>
      </c>
      <c r="BI24" t="str">
        <v>0.105</v>
      </c>
      <c r="BJ24" t="str">
        <v>Saturday, 15-Aug-2026 09:57:10 GMT</v>
      </c>
      <c r="BK24">
        <v>0</v>
      </c>
      <c r="BL24">
        <v>0</v>
      </c>
      <c r="BM24">
        <v>0</v>
      </c>
      <c r="BN24" t="str">
        <v>en-US</v>
      </c>
      <c r="BO24" t="str">
        <v>None</v>
      </c>
      <c r="BP24">
        <v>0</v>
      </c>
      <c r="BQ24" t="str">
        <v>https://pmb.widyatama.ac.id/biaya-kuliah-rpl/</v>
      </c>
      <c r="BR24">
        <v>46249.706354166665</v>
      </c>
      <c r="BZ24" t="str">
        <v>https://pmb.widyatama.ac.id/biaya-kuliah-rpl/</v>
      </c>
      <c r="CA24" t="str">
        <v>Indexable</v>
      </c>
      <c r="CB24">
        <v>0</v>
      </c>
      <c r="CC24" t="str">
        <v>Pricing</v>
      </c>
      <c r="CD24" t="str">
        <v>Main PMB Website</v>
      </c>
      <c r="CE24" t="str">
        <v>Yes</v>
      </c>
      <c r="CI24" t="str">
        <v>https://pmb.widyatama.ac.id/democracy-in-indonesia-why-it-feels-weak-at-the-grassroots-4/</v>
      </c>
      <c r="CK24" t="str">
        <v>democracy-in-indonesia-why-it-feels-weak-at-the-grassroots-4</v>
      </c>
      <c r="CO24" t="str">
        <v>register</v>
      </c>
      <c r="CP24">
        <f t="shared" si="1"/>
        <v>6</v>
      </c>
      <c r="CQ24" t="str" cm="1">
        <f t="array" ref="CQ24">_xlfn.LET(
_xlpm.s,LOWER(CO24),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Registration System</v>
      </c>
      <c r="CV24" t="str">
        <v>Pricing</v>
      </c>
      <c r="DG24" t="str">
        <v>Pricing</v>
      </c>
      <c r="DV24" t="str">
        <v>Core PMB Website</v>
      </c>
      <c r="DW24" t="str">
        <v>Yes</v>
      </c>
      <c r="EA24" t="str">
        <v>P1 - Critical</v>
      </c>
    </row>
    <row r="25" spans="1:131">
      <c r="A25" t="str">
        <v>https://pmb.widyatama.ac.id/apresiasi-prestasi-mahasiswa/</v>
      </c>
      <c r="B25" t="str">
        <v>text/html; charset=UTF-8</v>
      </c>
      <c r="C25">
        <v>200</v>
      </c>
      <c r="D25">
        <v>0</v>
      </c>
      <c r="E25" t="str">
        <v>Indexable</v>
      </c>
      <c r="F25">
        <v>0</v>
      </c>
      <c r="G25" t="str">
        <v>Apresiasi Prestasi Mahasiswa - PMB UTama</v>
      </c>
      <c r="H25">
        <v>40</v>
      </c>
      <c r="I25">
        <v>396</v>
      </c>
      <c r="J25">
        <v>0</v>
      </c>
      <c r="K25">
        <v>0</v>
      </c>
      <c r="L25">
        <v>0</v>
      </c>
      <c r="M25">
        <v>0</v>
      </c>
      <c r="N25">
        <v>0</v>
      </c>
      <c r="O25" t="str">
        <v>Apresiasi Prestasi Mahasiswa Universitas Widyatama</v>
      </c>
      <c r="P25">
        <v>50</v>
      </c>
      <c r="Q25">
        <v>0</v>
      </c>
      <c r="R25">
        <v>0</v>
      </c>
      <c r="S25" t="str">
        <v>Apresiasi ini berlaku setelah mahasiswa resmi menjadi mahasiswa aktif.</v>
      </c>
      <c r="T25">
        <v>70</v>
      </c>
      <c r="U25" t="str">
        <v>Prestasi Mahasiswa Aktif Mendapat Ruang Apresiasi</v>
      </c>
      <c r="V25">
        <v>49</v>
      </c>
      <c r="W25" t="str">
        <v>index, follow, max-image-preview:large, max-snippet:-1, max-video-preview:-1</v>
      </c>
      <c r="X25">
        <v>0</v>
      </c>
      <c r="Y25">
        <v>0</v>
      </c>
      <c r="Z25" t="str">
        <v>https://pmb.widyatama.ac.id/apresiasi-prestasi-mahasiswa/</v>
      </c>
      <c r="AA25">
        <v>0</v>
      </c>
      <c r="AB25">
        <v>0</v>
      </c>
      <c r="AC25">
        <v>0</v>
      </c>
      <c r="AD25">
        <v>0</v>
      </c>
      <c r="AE25">
        <v>0</v>
      </c>
      <c r="AF25">
        <v>151958</v>
      </c>
      <c r="AG25">
        <v>34330</v>
      </c>
      <c r="AH25">
        <v>1726023</v>
      </c>
      <c r="AI25">
        <v>611884</v>
      </c>
      <c r="AJ25" t="str">
        <v>D</v>
      </c>
      <c r="AK25">
        <v>394</v>
      </c>
      <c r="AL25">
        <v>101</v>
      </c>
      <c r="AM25">
        <v>3901</v>
      </c>
      <c r="AN25" t="str">
        <v>0.000</v>
      </c>
      <c r="AO25" t="str">
        <v>Very Hard</v>
      </c>
      <c r="AP25">
        <v>2259</v>
      </c>
      <c r="AQ25">
        <v>1</v>
      </c>
      <c r="AR25">
        <v>1</v>
      </c>
      <c r="AS25">
        <v>0</v>
      </c>
      <c r="AT25">
        <v>316</v>
      </c>
      <c r="AU25">
        <v>77</v>
      </c>
      <c r="AV25">
        <v>76</v>
      </c>
      <c r="AW25">
        <v>88510</v>
      </c>
      <c r="AX25">
        <v>127</v>
      </c>
      <c r="AY25">
        <v>29</v>
      </c>
      <c r="AZ25">
        <v>0</v>
      </c>
      <c r="BA25">
        <v>8</v>
      </c>
      <c r="BB25">
        <v>7</v>
      </c>
      <c r="BC25">
        <v>2</v>
      </c>
      <c r="BD25">
        <v>0</v>
      </c>
      <c r="BE25">
        <v>0</v>
      </c>
      <c r="BF25">
        <v>0</v>
      </c>
      <c r="BG25">
        <v>0</v>
      </c>
      <c r="BH25" t="str">
        <v>51b9b0d68db4c797a121cfb6826fb407</v>
      </c>
      <c r="BI25">
        <v>1073</v>
      </c>
      <c r="BJ25" t="str">
        <v>Saturday, 15-Aug-2026 09:57:44 GMT</v>
      </c>
      <c r="BK25">
        <v>0</v>
      </c>
      <c r="BL25">
        <v>0</v>
      </c>
      <c r="BM25">
        <v>0</v>
      </c>
      <c r="BN25" t="str">
        <v>en-US</v>
      </c>
      <c r="BO25" t="str">
        <v>2.0</v>
      </c>
      <c r="BP25">
        <v>0</v>
      </c>
      <c r="BQ25" t="str">
        <v>https://pmb.widyatama.ac.id/apresiasi-prestasi-mahasiswa/</v>
      </c>
      <c r="BR25">
        <v>46249.706759259258</v>
      </c>
      <c r="BZ25" t="str">
        <v>https://pmb.widyatama.ac.id/apresiasi-prestasi-mahasiswa/</v>
      </c>
      <c r="CA25" t="str">
        <v>Indexable</v>
      </c>
      <c r="CB25">
        <v>0</v>
      </c>
      <c r="CC25" t="str">
        <v>Other</v>
      </c>
      <c r="CD25" t="str">
        <v>Main PMB Website</v>
      </c>
      <c r="CE25" t="str">
        <v>Yes</v>
      </c>
      <c r="CI25" t="str">
        <v>https://pmb.widyatama.ac.id/the-hidden-dangers-of-sugar-3/</v>
      </c>
      <c r="CK25" t="str">
        <v>the-hidden-dangers-of-sugar-3</v>
      </c>
      <c r="CO25" t="str">
        <v>the-hidden-dangers-of-sugar</v>
      </c>
      <c r="CP25">
        <f t="shared" si="1"/>
        <v>1</v>
      </c>
      <c r="CQ25" t="str" cm="1">
        <f t="array" ref="CQ25">_xlfn.LET(
_xlpm.s,LOWER(CO25),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25" t="str">
        <v>Campus Life</v>
      </c>
      <c r="DG25" t="str">
        <v>Campus Life</v>
      </c>
      <c r="DV25" t="str">
        <v>Core PMB Website</v>
      </c>
      <c r="DW25" t="str">
        <v>Yes</v>
      </c>
      <c r="EA25" t="str">
        <v>P2 - High</v>
      </c>
    </row>
    <row r="26" spans="1:131">
      <c r="A26" t="str">
        <v>https://pmb.widyatama.ac.id/asuransi-mahasiswa/</v>
      </c>
      <c r="B26" t="str">
        <v>text/html; charset=UTF-8</v>
      </c>
      <c r="C26">
        <v>200</v>
      </c>
      <c r="D26">
        <v>0</v>
      </c>
      <c r="E26" t="str">
        <v>Indexable</v>
      </c>
      <c r="F26">
        <v>0</v>
      </c>
      <c r="G26" t="str">
        <v>Asuransi Mahasiswa - PMB UTama</v>
      </c>
      <c r="H26">
        <v>30</v>
      </c>
      <c r="I26">
        <v>314</v>
      </c>
      <c r="J26">
        <v>0</v>
      </c>
      <c r="K26">
        <v>0</v>
      </c>
      <c r="L26">
        <v>0</v>
      </c>
      <c r="M26">
        <v>0</v>
      </c>
      <c r="N26">
        <v>0</v>
      </c>
      <c r="O26" t="str">
        <v>Asuransi Mahasiswa Universitas Widyatama</v>
      </c>
      <c r="P26">
        <v>40</v>
      </c>
      <c r="Q26">
        <v>0</v>
      </c>
      <c r="R26">
        <v>0</v>
      </c>
      <c r="S26" t="str">
        <v>Asuransi dapat dimanfaatkan ketika terjadi hal yang tidak diinginkan selama masa studi.</v>
      </c>
      <c r="T26">
        <v>87</v>
      </c>
      <c r="U26" t="str">
        <v>Perlindungan untuk Mahasiswa Selama Masa Studi</v>
      </c>
      <c r="V26">
        <v>46</v>
      </c>
      <c r="W26" t="str">
        <v>index, follow, max-image-preview:large, max-snippet:-1, max-video-preview:-1</v>
      </c>
      <c r="X26">
        <v>0</v>
      </c>
      <c r="Y26">
        <v>0</v>
      </c>
      <c r="Z26" t="str">
        <v>https://pmb.widyatama.ac.id/asuransi-mahasiswa/</v>
      </c>
      <c r="AA26">
        <v>0</v>
      </c>
      <c r="AB26">
        <v>0</v>
      </c>
      <c r="AC26">
        <v>0</v>
      </c>
      <c r="AD26">
        <v>0</v>
      </c>
      <c r="AE26">
        <v>0</v>
      </c>
      <c r="AF26">
        <v>152295</v>
      </c>
      <c r="AG26">
        <v>34118</v>
      </c>
      <c r="AH26">
        <v>2336330</v>
      </c>
      <c r="AI26">
        <v>828241</v>
      </c>
      <c r="AJ26" t="str">
        <v>E</v>
      </c>
      <c r="AK26">
        <v>401</v>
      </c>
      <c r="AL26">
        <v>103</v>
      </c>
      <c r="AM26">
        <v>3893</v>
      </c>
      <c r="AN26" t="str">
        <v>0.000</v>
      </c>
      <c r="AO26" t="str">
        <v>Very Hard</v>
      </c>
      <c r="AP26">
        <v>2239</v>
      </c>
      <c r="AQ26">
        <v>1</v>
      </c>
      <c r="AR26">
        <v>1</v>
      </c>
      <c r="AS26">
        <v>0</v>
      </c>
      <c r="AT26">
        <v>316</v>
      </c>
      <c r="AU26">
        <v>77</v>
      </c>
      <c r="AV26">
        <v>76</v>
      </c>
      <c r="AW26">
        <v>88510</v>
      </c>
      <c r="AX26">
        <v>127</v>
      </c>
      <c r="AY26">
        <v>28</v>
      </c>
      <c r="AZ26">
        <v>0</v>
      </c>
      <c r="BA26">
        <v>8</v>
      </c>
      <c r="BB26">
        <v>7</v>
      </c>
      <c r="BC26">
        <v>2</v>
      </c>
      <c r="BD26">
        <v>0</v>
      </c>
      <c r="BE26">
        <v>0</v>
      </c>
      <c r="BF26">
        <v>0</v>
      </c>
      <c r="BG26">
        <v>0</v>
      </c>
      <c r="BH26" t="str">
        <v>334fa0a13988bb75399b726be597ea7c</v>
      </c>
      <c r="BI26" t="str">
        <v>0.554</v>
      </c>
      <c r="BJ26" t="str">
        <v>Saturday, 15-Aug-2026 09:57:46 GMT</v>
      </c>
      <c r="BK26">
        <v>0</v>
      </c>
      <c r="BL26">
        <v>0</v>
      </c>
      <c r="BM26">
        <v>0</v>
      </c>
      <c r="BN26" t="str">
        <v>en-US</v>
      </c>
      <c r="BO26" t="str">
        <v>2.0</v>
      </c>
      <c r="BP26">
        <v>0</v>
      </c>
      <c r="BQ26" t="str">
        <v>https://pmb.widyatama.ac.id/asuransi-mahasiswa/</v>
      </c>
      <c r="BR26">
        <v>46249.706770833334</v>
      </c>
      <c r="BZ26" t="str">
        <v>https://pmb.widyatama.ac.id/asuransi-mahasiswa/</v>
      </c>
      <c r="CA26" t="str">
        <v>Indexable</v>
      </c>
      <c r="CB26">
        <v>0</v>
      </c>
      <c r="CC26" t="str">
        <v>Other</v>
      </c>
      <c r="CD26" t="str">
        <v>Main PMB Website</v>
      </c>
      <c r="CE26" t="str">
        <v>Yes</v>
      </c>
      <c r="CI26" t="str">
        <v>https://pmb.widyatama.ac.id/democracy-in-indonesia-why-it-feels-weak-at-the-grassroots-2/</v>
      </c>
      <c r="CK26" t="str">
        <v>democracy-in-indonesia-why-it-feels-weak-at-the-grassroots-2</v>
      </c>
      <c r="CO26" t="str">
        <v>the-hidden-dangers-of-sugar-2</v>
      </c>
      <c r="CP26">
        <f t="shared" si="1"/>
        <v>1</v>
      </c>
      <c r="CQ26" t="str" cm="1">
        <f t="array" ref="CQ26">_xlfn.LET(
_xlpm.s,LOWER(CO26),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26" t="str">
        <v>Campus Life</v>
      </c>
      <c r="DG26" t="str">
        <v>Campus Life</v>
      </c>
      <c r="DV26" t="str">
        <v>Core PMB Website</v>
      </c>
      <c r="DW26" t="str">
        <v>Yes</v>
      </c>
      <c r="EA26" t="str">
        <v>P2 - High</v>
      </c>
    </row>
    <row r="27" spans="1:131">
      <c r="A27" t="str">
        <v>https://pmb.widyatama.ac.id/organisasi-kemahasiswaan/</v>
      </c>
      <c r="B27" t="str">
        <v>text/html; charset=UTF-8</v>
      </c>
      <c r="C27">
        <v>200</v>
      </c>
      <c r="D27">
        <v>0</v>
      </c>
      <c r="E27" t="str">
        <v>Indexable</v>
      </c>
      <c r="F27">
        <v>0</v>
      </c>
      <c r="G27" t="str">
        <v>Organisasi Kemahasiswaan - PMB UTama</v>
      </c>
      <c r="H27">
        <v>36</v>
      </c>
      <c r="I27">
        <v>377</v>
      </c>
      <c r="J27">
        <v>0</v>
      </c>
      <c r="K27">
        <v>0</v>
      </c>
      <c r="L27">
        <v>0</v>
      </c>
      <c r="M27">
        <v>0</v>
      </c>
      <c r="N27">
        <v>0</v>
      </c>
      <c r="O27" t="str">
        <v>UKM Paduan Suara Mahasiswa Utama PSM</v>
      </c>
      <c r="P27">
        <v>36</v>
      </c>
      <c r="Q27" t="str">
        <v>UKM Winner Cabaret</v>
      </c>
      <c r="R27">
        <v>18</v>
      </c>
      <c r="S27" t="str">
        <v>Berbagai Organisasi Kemahasiswaan di Universitas Widyatama</v>
      </c>
      <c r="T27">
        <v>58</v>
      </c>
      <c r="U27" t="str">
        <v>Fasilitas</v>
      </c>
      <c r="V27">
        <v>9</v>
      </c>
      <c r="W27" t="str">
        <v>index, follow, max-image-preview:large, max-snippet:-1, max-video-preview:-1</v>
      </c>
      <c r="X27">
        <v>0</v>
      </c>
      <c r="Y27">
        <v>0</v>
      </c>
      <c r="Z27" t="str">
        <v>https://pmb.widyatama.ac.id/organisasi-kemahasiswaan/</v>
      </c>
      <c r="AA27">
        <v>0</v>
      </c>
      <c r="AB27">
        <v>0</v>
      </c>
      <c r="AC27">
        <v>0</v>
      </c>
      <c r="AD27">
        <v>0</v>
      </c>
      <c r="AE27">
        <v>0</v>
      </c>
      <c r="AF27">
        <v>220600</v>
      </c>
      <c r="AG27">
        <v>35643</v>
      </c>
      <c r="AH27">
        <v>3481883</v>
      </c>
      <c r="AI27">
        <v>1234345</v>
      </c>
      <c r="AJ27" t="str">
        <v>F</v>
      </c>
      <c r="AK27">
        <v>187</v>
      </c>
      <c r="AL27">
        <v>79</v>
      </c>
      <c r="AM27">
        <v>2367</v>
      </c>
      <c r="AN27" t="str">
        <v>0.000</v>
      </c>
      <c r="AO27" t="str">
        <v>Very Hard</v>
      </c>
      <c r="AP27">
        <v>1164</v>
      </c>
      <c r="AQ27">
        <v>1</v>
      </c>
      <c r="AR27">
        <v>1</v>
      </c>
      <c r="AS27">
        <v>0</v>
      </c>
      <c r="AT27">
        <v>320</v>
      </c>
      <c r="AU27">
        <v>77</v>
      </c>
      <c r="AV27">
        <v>76</v>
      </c>
      <c r="AW27">
        <v>88510</v>
      </c>
      <c r="AX27">
        <v>112</v>
      </c>
      <c r="AY27">
        <v>28</v>
      </c>
      <c r="AZ27">
        <v>0</v>
      </c>
      <c r="BA27">
        <v>33</v>
      </c>
      <c r="BB27">
        <v>32</v>
      </c>
      <c r="BC27">
        <v>2</v>
      </c>
      <c r="BD27">
        <v>0</v>
      </c>
      <c r="BE27">
        <v>0</v>
      </c>
      <c r="BF27">
        <v>0</v>
      </c>
      <c r="BG27">
        <v>0</v>
      </c>
      <c r="BH27" t="str">
        <v>bd54fa5c8ebf3c9246e268b55731aacb</v>
      </c>
      <c r="BI27" t="str">
        <v>0.492</v>
      </c>
      <c r="BJ27" t="str">
        <v>Saturday, 15-Aug-2026 09:57:49 GMT</v>
      </c>
      <c r="BK27">
        <v>0</v>
      </c>
      <c r="BL27">
        <v>0</v>
      </c>
      <c r="BM27">
        <v>0</v>
      </c>
      <c r="BN27" t="str">
        <v>en-US</v>
      </c>
      <c r="BO27" t="str">
        <v>None</v>
      </c>
      <c r="BP27">
        <v>0</v>
      </c>
      <c r="BQ27" t="str">
        <v>https://pmb.widyatama.ac.id/organisasi-kemahasiswaan/</v>
      </c>
      <c r="BR27">
        <v>46249.706805555557</v>
      </c>
      <c r="BZ27" t="str">
        <v>https://pmb.widyatama.ac.id/organisasi-kemahasiswaan/</v>
      </c>
      <c r="CA27" t="str">
        <v>Indexable</v>
      </c>
      <c r="CB27">
        <v>0</v>
      </c>
      <c r="CC27" t="str">
        <v>Other</v>
      </c>
      <c r="CD27" t="str">
        <v>Main PMB Website</v>
      </c>
      <c r="CE27" t="str">
        <v>Yes</v>
      </c>
      <c r="CI27" t="str">
        <v>https://pmb.widyatama.ac.id/the-hidden-dangers-of-sugar-2/</v>
      </c>
      <c r="CK27" t="str">
        <v>the-hidden-dangers-of-sugar-2</v>
      </c>
      <c r="CO27" t="str">
        <v>the-hidden-dangers-of-sugar-3</v>
      </c>
      <c r="CP27">
        <f t="shared" si="1"/>
        <v>1</v>
      </c>
      <c r="CQ27" t="str" cm="1">
        <f t="array" ref="CQ27">_xlfn.LET(
_xlpm.s,LOWER(CO27),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27" t="str">
        <v>Campus Life</v>
      </c>
      <c r="DG27" t="str">
        <v>Campus Life</v>
      </c>
      <c r="DV27" t="str">
        <v>Core PMB Website</v>
      </c>
      <c r="DW27" t="str">
        <v>Yes</v>
      </c>
      <c r="EA27" t="str">
        <v>P2 - High</v>
      </c>
    </row>
    <row r="28" spans="1:131">
      <c r="A28" t="str">
        <v>https://pmb.widyatama.ac.id/jalur-seleksi-unggulan/</v>
      </c>
      <c r="B28" t="str">
        <v>text/html; charset=UTF-8</v>
      </c>
      <c r="C28">
        <v>200</v>
      </c>
      <c r="D28">
        <v>0</v>
      </c>
      <c r="E28" t="str">
        <v>Indexable</v>
      </c>
      <c r="F28">
        <v>0</v>
      </c>
      <c r="G28" t="str">
        <v>Jalur Seleksi Unggulan - PMB UTama</v>
      </c>
      <c r="H28">
        <v>34</v>
      </c>
      <c r="I28">
        <v>330</v>
      </c>
      <c r="J28">
        <v>0</v>
      </c>
      <c r="K28">
        <v>0</v>
      </c>
      <c r="L28">
        <v>0</v>
      </c>
      <c r="M28">
        <v>0</v>
      </c>
      <c r="N28">
        <v>0</v>
      </c>
      <c r="O28" t="str">
        <v>Jalur Seleksi Beasiswa Unggulan Diploma &amp; Sarjana</v>
      </c>
      <c r="P28">
        <v>49</v>
      </c>
      <c r="Q28">
        <v>0</v>
      </c>
      <c r="R28">
        <v>0</v>
      </c>
      <c r="S28" t="str">
        <v>Jalur beasiswa bagi siswa dengan capaian akademik baik dan peluang seleksi yang lebih luas.</v>
      </c>
      <c r="T28">
        <v>91</v>
      </c>
      <c r="U28" t="str">
        <v>Jalur Unggulan Cocok untuk Calon Mahasiswa dengan Prestasi Baik dan Konsisten</v>
      </c>
      <c r="V28">
        <v>77</v>
      </c>
      <c r="W28" t="str">
        <v>index, follow, max-image-preview:large, max-snippet:-1, max-video-preview:-1</v>
      </c>
      <c r="X28">
        <v>0</v>
      </c>
      <c r="Y28">
        <v>0</v>
      </c>
      <c r="Z28" t="str">
        <v>https://pmb.widyatama.ac.id/jalur-seleksi-unggulan/</v>
      </c>
      <c r="AA28">
        <v>0</v>
      </c>
      <c r="AB28">
        <v>0</v>
      </c>
      <c r="AC28">
        <v>0</v>
      </c>
      <c r="AD28">
        <v>0</v>
      </c>
      <c r="AE28">
        <v>0</v>
      </c>
      <c r="AF28">
        <v>176380</v>
      </c>
      <c r="AG28">
        <v>38300</v>
      </c>
      <c r="AH28">
        <v>811056</v>
      </c>
      <c r="AI28">
        <v>287523</v>
      </c>
      <c r="AJ28" t="str">
        <v>B</v>
      </c>
      <c r="AK28">
        <v>809</v>
      </c>
      <c r="AL28">
        <v>164</v>
      </c>
      <c r="AM28">
        <v>4933</v>
      </c>
      <c r="AN28">
        <v>16105</v>
      </c>
      <c r="AO28" t="str">
        <v>Very Hard</v>
      </c>
      <c r="AP28">
        <v>3039</v>
      </c>
      <c r="AQ28">
        <v>2</v>
      </c>
      <c r="AR28">
        <v>1</v>
      </c>
      <c r="AS28">
        <v>0</v>
      </c>
      <c r="AT28">
        <v>13</v>
      </c>
      <c r="AU28">
        <v>8</v>
      </c>
      <c r="AV28">
        <v>1</v>
      </c>
      <c r="AW28">
        <v>9200</v>
      </c>
      <c r="AX28">
        <v>127</v>
      </c>
      <c r="AY28">
        <v>35</v>
      </c>
      <c r="AZ28">
        <v>0</v>
      </c>
      <c r="BA28">
        <v>16</v>
      </c>
      <c r="BB28">
        <v>8</v>
      </c>
      <c r="BC28">
        <v>3</v>
      </c>
      <c r="BD28">
        <v>0</v>
      </c>
      <c r="BE28">
        <v>0</v>
      </c>
      <c r="BF28">
        <v>0</v>
      </c>
      <c r="BG28">
        <v>0</v>
      </c>
      <c r="BH28" t="str">
        <v>1996915f334b55010d2ae4f3d9ae5f69</v>
      </c>
      <c r="BI28" t="str">
        <v>0.572</v>
      </c>
      <c r="BJ28" t="str">
        <v>Saturday, 15-Aug-2026 09:57:51 GMT</v>
      </c>
      <c r="BK28">
        <v>0</v>
      </c>
      <c r="BL28">
        <v>0</v>
      </c>
      <c r="BM28">
        <v>0</v>
      </c>
      <c r="BN28" t="str">
        <v>en-US</v>
      </c>
      <c r="BO28" t="str">
        <v>None</v>
      </c>
      <c r="BP28">
        <v>0</v>
      </c>
      <c r="BQ28" t="str">
        <v>https://pmb.widyatama.ac.id/jalur-seleksi-unggulan/</v>
      </c>
      <c r="BR28">
        <v>46249.70684027778</v>
      </c>
      <c r="BZ28" t="str">
        <v>https://pmb.widyatama.ac.id/jalur-seleksi-unggulan/</v>
      </c>
      <c r="CA28" t="str">
        <v>Indexable</v>
      </c>
      <c r="CB28">
        <v>0</v>
      </c>
      <c r="CC28" t="str">
        <v>Admission</v>
      </c>
      <c r="CD28" t="str">
        <v>Main PMB Website</v>
      </c>
      <c r="CE28" t="str">
        <v>Yes</v>
      </c>
      <c r="CI28" t="str">
        <v>https://pmb.widyatama.ac.id/the-hidden-dangers-of-sugar/</v>
      </c>
      <c r="CK28" t="str">
        <v>the-hidden-dangers-of-sugar</v>
      </c>
      <c r="CO28" t="str">
        <v>the-rapid-advancement-of-digital-technology</v>
      </c>
      <c r="CP28">
        <f t="shared" si="1"/>
        <v>1</v>
      </c>
      <c r="CQ28" t="str" cm="1">
        <f t="array" ref="CQ28">_xlfn.LET(
_xlpm.s,LOWER(CO28),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28" t="str">
        <v>Admission</v>
      </c>
      <c r="DG28" t="str">
        <v>Admission</v>
      </c>
      <c r="DV28" t="str">
        <v>Core PMB Website</v>
      </c>
      <c r="DW28" t="str">
        <v>Yes</v>
      </c>
      <c r="EA28" t="str">
        <v>P1 - Critical</v>
      </c>
    </row>
    <row r="29" spans="1:131">
      <c r="A29" t="str">
        <v>https://pmb.widyatama.ac.id/jalur-reguler-pendidikan-profesi/</v>
      </c>
      <c r="B29" t="str">
        <v>text/html; charset=UTF-8</v>
      </c>
      <c r="C29">
        <v>200</v>
      </c>
      <c r="D29">
        <v>0</v>
      </c>
      <c r="E29" t="str">
        <v>Indexable</v>
      </c>
      <c r="F29">
        <v>0</v>
      </c>
      <c r="G29" t="str">
        <v>Jalur Reguler Pendidikan Profesi - PMB UTama</v>
      </c>
      <c r="H29">
        <v>44</v>
      </c>
      <c r="I29">
        <v>416</v>
      </c>
      <c r="J29">
        <v>0</v>
      </c>
      <c r="K29">
        <v>0</v>
      </c>
      <c r="L29">
        <v>0</v>
      </c>
      <c r="M29">
        <v>0</v>
      </c>
      <c r="N29">
        <v>0</v>
      </c>
      <c r="O29" t="str">
        <v>Jalur Pendidikan Profesi Program Profesi Akuntan (PPAk)</v>
      </c>
      <c r="P29">
        <v>55</v>
      </c>
      <c r="Q29">
        <v>0</v>
      </c>
      <c r="R29">
        <v>0</v>
      </c>
      <c r="S29" t="str">
        <v>Siapkan diri menjadi akuntan profesional dengan kompetensi yang diakui secara formal.</v>
      </c>
      <c r="T29">
        <v>85</v>
      </c>
      <c r="U29" t="str">
        <v>PPAk Cocok untuk Lulusan S1/D4 yang Ingin Menguatkan Kompetensi Profesi Akuntan</v>
      </c>
      <c r="V29">
        <v>79</v>
      </c>
      <c r="W29" t="str">
        <v>index, follow, max-image-preview:large, max-snippet:-1, max-video-preview:-1</v>
      </c>
      <c r="X29">
        <v>0</v>
      </c>
      <c r="Y29">
        <v>0</v>
      </c>
      <c r="Z29" t="str">
        <v>https://pmb.widyatama.ac.id/jalur-reguler-pendidikan-profesi/</v>
      </c>
      <c r="AA29">
        <v>0</v>
      </c>
      <c r="AB29">
        <v>0</v>
      </c>
      <c r="AC29">
        <v>0</v>
      </c>
      <c r="AD29">
        <v>0</v>
      </c>
      <c r="AE29">
        <v>0</v>
      </c>
      <c r="AF29">
        <v>171323</v>
      </c>
      <c r="AG29">
        <v>37660</v>
      </c>
      <c r="AH29">
        <v>2380837</v>
      </c>
      <c r="AI29">
        <v>844019</v>
      </c>
      <c r="AJ29" t="str">
        <v>E</v>
      </c>
      <c r="AK29">
        <v>822</v>
      </c>
      <c r="AL29">
        <v>156</v>
      </c>
      <c r="AM29">
        <v>5269</v>
      </c>
      <c r="AN29" t="str">
        <v>0.000</v>
      </c>
      <c r="AO29" t="str">
        <v>Very Hard</v>
      </c>
      <c r="AP29">
        <v>3318</v>
      </c>
      <c r="AQ29">
        <v>2</v>
      </c>
      <c r="AR29">
        <v>1</v>
      </c>
      <c r="AS29">
        <v>0</v>
      </c>
      <c r="AT29">
        <v>10</v>
      </c>
      <c r="AU29">
        <v>5</v>
      </c>
      <c r="AV29">
        <v>1</v>
      </c>
      <c r="AW29">
        <v>5750</v>
      </c>
      <c r="AX29">
        <v>127</v>
      </c>
      <c r="AY29">
        <v>33</v>
      </c>
      <c r="AZ29">
        <v>1</v>
      </c>
      <c r="BA29">
        <v>16</v>
      </c>
      <c r="BB29">
        <v>8</v>
      </c>
      <c r="BC29">
        <v>3</v>
      </c>
      <c r="BD29">
        <v>0</v>
      </c>
      <c r="BE29">
        <v>0</v>
      </c>
      <c r="BF29">
        <v>0</v>
      </c>
      <c r="BG29">
        <v>0</v>
      </c>
      <c r="BH29" t="str">
        <v>2eca1756c989ea42ac242ed0f86f9af2</v>
      </c>
      <c r="BI29" t="str">
        <v>0.237</v>
      </c>
      <c r="BJ29" t="str">
        <v>Saturday, 15-Aug-2026 09:57:50 GMT</v>
      </c>
      <c r="BK29">
        <v>0</v>
      </c>
      <c r="BL29">
        <v>0</v>
      </c>
      <c r="BM29">
        <v>0</v>
      </c>
      <c r="BN29" t="str">
        <v>en-US</v>
      </c>
      <c r="BO29" t="str">
        <v>None</v>
      </c>
      <c r="BP29">
        <v>0</v>
      </c>
      <c r="BQ29" t="str">
        <v>https://pmb.widyatama.ac.id/jalur-reguler-pendidikan-profesi/</v>
      </c>
      <c r="BR29">
        <v>46249.706828703704</v>
      </c>
      <c r="BZ29" t="str">
        <v>https://pmb.widyatama.ac.id/jalur-reguler-pendidikan-profesi/</v>
      </c>
      <c r="CA29" t="str">
        <v>Indexable</v>
      </c>
      <c r="CB29">
        <v>0</v>
      </c>
      <c r="CC29" t="str">
        <v>Admission</v>
      </c>
      <c r="CD29" t="str">
        <v>Main PMB Website</v>
      </c>
      <c r="CE29" t="str">
        <v>Yes</v>
      </c>
      <c r="CI29" t="str">
        <v>https://pmb.widyatama.ac.id/the-rapid-advancement-of-digital-technology/</v>
      </c>
      <c r="CK29" t="str">
        <v>the-rapid-advancement-of-digital-technology</v>
      </c>
      <c r="CO29" t="str">
        <v>the-rapid-advancement-of-digital-technology-2</v>
      </c>
      <c r="CP29">
        <f t="shared" si="1"/>
        <v>1</v>
      </c>
      <c r="CQ29" t="str" cm="1">
        <f t="array" ref="CQ29">_xlfn.LET(
_xlpm.s,LOWER(CO29),
_xlfn.SWITCH(
TRUE,
OR(_xlpm.s="petunjuk-pendaftaran",_xlpm.s="cek-jalur-pendaftaran"),"Admission",
OR(_xlpm.s="jenjang-pendidikan",_xlpm.s="output-lulusan"),"Information",
OR(_xlpm.s="privacy-policy",_xlpm.s="cookie-policy"),"Policy",
_xlpm.s="mahasiswa-internasional","International",
OR(
_xlpm.s="aktivitas-civitas",
_xlpm.s="fasilitas",
_xlpm.s="apresiasi-prestasi-mahasiswa",
_xlpm.s="asuransi-mahasiswa",
_xlpm.s="organisasi-kemahasiswaan"
),"Campus Life",
OR(
_xlpm.s="register",
_xlpm.s="auth",
_xlpm.s="homepage/system root"
),"Registration System",
_xlpm.s="blog","Content",
OR(
ISNUMBER(SEARCH("democracy-in-indonesia",_xlpm.s)),
ISNUMBER(SEARCH("hidden-dangers-of-sugar",_xlpm.s)),
ISNUMBER(SEARCH("rapid-advancement-of-digital-technology",_xlpm.s)),
_xlpm.s="2025"
),"Content Review",
"Other Review"
)
)</f>
        <v>Content Review</v>
      </c>
      <c r="CV29" t="str">
        <v>Admission</v>
      </c>
      <c r="DG29" t="str">
        <v>Admission</v>
      </c>
      <c r="DV29" t="str">
        <v>Core PMB Website</v>
      </c>
      <c r="DW29" t="str">
        <v>Yes</v>
      </c>
      <c r="EA29" t="str">
        <v>P1 - Critical</v>
      </c>
    </row>
    <row r="30" spans="1:131">
      <c r="A30" t="str">
        <v>https://pmb.widyatama.ac.id/jalur-pasca-reguler-maksi/</v>
      </c>
      <c r="B30" t="str">
        <v>text/html; charset=UTF-8</v>
      </c>
      <c r="C30">
        <v>200</v>
      </c>
      <c r="D30">
        <v>0</v>
      </c>
      <c r="E30" t="str">
        <v>Indexable</v>
      </c>
      <c r="F30">
        <v>0</v>
      </c>
      <c r="G30" t="str">
        <v>Jalur Pasca Reguler MAKSI - PMB UTama</v>
      </c>
      <c r="H30">
        <v>37</v>
      </c>
      <c r="I30">
        <v>370</v>
      </c>
      <c r="J30">
        <v>0</v>
      </c>
      <c r="K30">
        <v>0</v>
      </c>
      <c r="L30">
        <v>0</v>
      </c>
      <c r="M30">
        <v>0</v>
      </c>
      <c r="N30">
        <v>0</v>
      </c>
      <c r="O30" t="str">
        <v>Jalur Pascasarjana Reguler Magister Akuntansi (MAKSI)</v>
      </c>
      <c r="P30">
        <v>53</v>
      </c>
      <c r="Q30">
        <v>0</v>
      </c>
      <c r="R30">
        <v>0</v>
      </c>
      <c r="S30" t="str">
        <v>Perkuat keahlian audit, perpajakan, keuangan, dan akuntansi manajerial strategis.</v>
      </c>
      <c r="T30">
        <v>81</v>
      </c>
      <c r="U30" t="str">
        <v>Program MAKSI Cocok untuk Lulusan Sarjana yang Ingin Memperkuat Kompetensi Akuntansi Profesional</v>
      </c>
      <c r="V30">
        <v>96</v>
      </c>
      <c r="W30" t="str">
        <v>index, follow, max-image-preview:large, max-snippet:-1, max-video-preview:-1</v>
      </c>
      <c r="X30">
        <v>0</v>
      </c>
      <c r="Y30">
        <v>0</v>
      </c>
      <c r="Z30" t="str">
        <v>https://pmb.widyatama.ac.id/jalur-pasca-reguler-maksi/</v>
      </c>
      <c r="AA30">
        <v>0</v>
      </c>
      <c r="AB30">
        <v>0</v>
      </c>
      <c r="AC30">
        <v>0</v>
      </c>
      <c r="AD30">
        <v>0</v>
      </c>
      <c r="AE30">
        <v>0</v>
      </c>
      <c r="AF30">
        <v>171783</v>
      </c>
      <c r="AG30">
        <v>37690</v>
      </c>
      <c r="AH30">
        <v>2564397</v>
      </c>
      <c r="AI30">
        <v>909092</v>
      </c>
      <c r="AJ30" t="str">
        <v>F</v>
      </c>
      <c r="AK30">
        <v>817</v>
      </c>
      <c r="AL30">
        <v>160</v>
      </c>
      <c r="AM30">
        <v>5106</v>
      </c>
      <c r="AN30" t="str">
        <v>0.000</v>
      </c>
      <c r="AO30" t="str">
        <v>Very Hard</v>
      </c>
      <c r="AP30">
        <v>3347</v>
      </c>
      <c r="AQ30">
        <v>2</v>
      </c>
      <c r="AR30">
        <v>1</v>
      </c>
      <c r="AS30">
        <v>0</v>
      </c>
      <c r="AT30">
        <v>10</v>
      </c>
      <c r="AU30">
        <v>5</v>
      </c>
      <c r="AV30">
        <v>1</v>
      </c>
      <c r="AW30">
        <v>5750</v>
      </c>
      <c r="AX30">
        <v>127</v>
      </c>
      <c r="AY30">
        <v>33</v>
      </c>
      <c r="AZ30">
        <v>1</v>
      </c>
      <c r="BA30">
        <v>16</v>
      </c>
      <c r="BB30">
        <v>8</v>
      </c>
      <c r="BC30">
        <v>3</v>
      </c>
      <c r="BD30">
        <v>0</v>
      </c>
      <c r="BE30">
        <v>0</v>
      </c>
      <c r="BF30">
        <v>0</v>
      </c>
      <c r="BG30">
        <v>0</v>
      </c>
      <c r="BH30" t="str">
        <v>81b5055f1f40c4d9e8fd6b3192455263</v>
      </c>
      <c r="BI30">
        <v>20578</v>
      </c>
      <c r="BJ30" t="str">
        <v>Saturday, 15-Aug-2026 09:58:21 GMT</v>
      </c>
      <c r="BK30">
        <v>0</v>
      </c>
      <c r="BL30">
        <v>0</v>
      </c>
      <c r="BM30">
        <v>0</v>
      </c>
      <c r="BN30" t="str">
        <v>en-US</v>
      </c>
      <c r="BO30" t="str">
        <v>2.0</v>
      </c>
      <c r="BP30">
        <v>0</v>
      </c>
      <c r="BQ30" t="str">
        <v>https://pmb.widyatama.ac.id/jalur-pasca-reguler-maksi/</v>
      </c>
      <c r="BR30">
        <v>46249.706956018519</v>
      </c>
      <c r="BZ30" t="str">
        <v>https://pmb.widyatama.ac.id/jalur-pasca-reguler-maksi/</v>
      </c>
      <c r="CA30" t="str">
        <v>Indexable</v>
      </c>
      <c r="CB30">
        <v>0</v>
      </c>
      <c r="CC30" t="str">
        <v>Admission</v>
      </c>
      <c r="CD30" t="str">
        <v>Main PMB Website</v>
      </c>
      <c r="CE30" t="str">
        <v>Yes</v>
      </c>
      <c r="CI30" t="str">
        <v>https://pmb.widyatama.ac.id/the-rapid-advancement-of-digital-technology-2/</v>
      </c>
      <c r="CK30" t="str">
        <v>the-rapid-advancement-of-digital-technology-2</v>
      </c>
      <c r="CV30" t="str">
        <v>Admission</v>
      </c>
      <c r="DG30" t="str">
        <v>Admission</v>
      </c>
      <c r="DV30" t="str">
        <v>Core PMB Website</v>
      </c>
      <c r="DW30" t="str">
        <v>Yes</v>
      </c>
      <c r="EA30" t="str">
        <v>P1 - Critical</v>
      </c>
    </row>
    <row r="31" spans="1:131">
      <c r="A31" t="str">
        <v>https://pmb.widyatama.ac.id/jalur-pasca-reguler-mm/</v>
      </c>
      <c r="B31" t="str">
        <v>text/html; charset=UTF-8</v>
      </c>
      <c r="C31">
        <v>200</v>
      </c>
      <c r="D31">
        <v>0</v>
      </c>
      <c r="E31" t="str">
        <v>Indexable</v>
      </c>
      <c r="F31">
        <v>0</v>
      </c>
      <c r="G31" t="str">
        <v>Jalur Pasca Reguler MM - PMB UTama</v>
      </c>
      <c r="H31">
        <v>34</v>
      </c>
      <c r="I31">
        <v>345</v>
      </c>
      <c r="J31">
        <v>0</v>
      </c>
      <c r="K31">
        <v>0</v>
      </c>
      <c r="L31">
        <v>0</v>
      </c>
      <c r="M31">
        <v>0</v>
      </c>
      <c r="N31">
        <v>0</v>
      </c>
      <c r="O31" t="str">
        <v>Jalur Pascasarjana Reguler Magister Manajemen (MM)</v>
      </c>
      <c r="P31">
        <v>50</v>
      </c>
      <c r="Q31">
        <v>0</v>
      </c>
      <c r="R31">
        <v>0</v>
      </c>
      <c r="S31" t="str">
        <v>Perkuat kompetensi manajerial, kepemimpinan, dan keputusan bisnis strategis.</v>
      </c>
      <c r="T31">
        <v>76</v>
      </c>
      <c r="U31" t="str">
        <v>Program MM Cocok untuk Lulusan Sarjana yang Ingin Naik Kelas secara Manajerial</v>
      </c>
      <c r="V31">
        <v>78</v>
      </c>
      <c r="W31" t="str">
        <v>index, follow, max-image-preview:large, max-snippet:-1, max-video-preview:-1</v>
      </c>
      <c r="X31">
        <v>0</v>
      </c>
      <c r="Y31">
        <v>0</v>
      </c>
      <c r="Z31" t="str">
        <v>https://pmb.widyatama.ac.id/jalur-pasca-reguler-mm/</v>
      </c>
      <c r="AA31">
        <v>0</v>
      </c>
      <c r="AB31">
        <v>0</v>
      </c>
      <c r="AC31">
        <v>0</v>
      </c>
      <c r="AD31">
        <v>0</v>
      </c>
      <c r="AE31">
        <v>0</v>
      </c>
      <c r="AF31">
        <v>173579</v>
      </c>
      <c r="AG31">
        <v>38103</v>
      </c>
      <c r="AH31">
        <v>2273050</v>
      </c>
      <c r="AI31">
        <v>805808</v>
      </c>
      <c r="AJ31" t="str">
        <v>E</v>
      </c>
      <c r="AK31">
        <v>791</v>
      </c>
      <c r="AL31">
        <v>159</v>
      </c>
      <c r="AM31">
        <v>4975</v>
      </c>
      <c r="AN31" t="str">
        <v>0.000</v>
      </c>
      <c r="AO31" t="str">
        <v>Very Hard</v>
      </c>
      <c r="AP31">
        <v>3217</v>
      </c>
      <c r="AQ31">
        <v>2</v>
      </c>
      <c r="AR31">
        <v>1</v>
      </c>
      <c r="AS31">
        <v>0</v>
      </c>
      <c r="AT31">
        <v>10</v>
      </c>
      <c r="AU31">
        <v>5</v>
      </c>
      <c r="AV31">
        <v>1</v>
      </c>
      <c r="AW31">
        <v>5750</v>
      </c>
      <c r="AX31">
        <v>127</v>
      </c>
      <c r="AY31">
        <v>33</v>
      </c>
      <c r="AZ31">
        <v>1</v>
      </c>
      <c r="BA31">
        <v>16</v>
      </c>
      <c r="BB31">
        <v>8</v>
      </c>
      <c r="BC31">
        <v>3</v>
      </c>
      <c r="BD31">
        <v>0</v>
      </c>
      <c r="BE31">
        <v>0</v>
      </c>
      <c r="BF31">
        <v>0</v>
      </c>
      <c r="BG31">
        <v>0</v>
      </c>
      <c r="BH31" t="str">
        <v>ac878136340036da068952bef56c350c</v>
      </c>
      <c r="BI31">
        <v>3642</v>
      </c>
      <c r="BJ31" t="str">
        <v>Saturday, 15-Aug-2026 09:58:21 GMT</v>
      </c>
      <c r="BK31">
        <v>0</v>
      </c>
      <c r="BL31">
        <v>0</v>
      </c>
      <c r="BM31">
        <v>0</v>
      </c>
      <c r="BN31" t="str">
        <v>en-US</v>
      </c>
      <c r="BO31" t="str">
        <v>None</v>
      </c>
      <c r="BP31">
        <v>0</v>
      </c>
      <c r="BQ31" t="str">
        <v>https://pmb.widyatama.ac.id/jalur-pasca-reguler-mm/</v>
      </c>
      <c r="BR31">
        <v>46249.707152777781</v>
      </c>
      <c r="BZ31" t="str">
        <v>https://pmb.widyatama.ac.id/jalur-pasca-reguler-mm/</v>
      </c>
      <c r="CA31" t="str">
        <v>Indexable</v>
      </c>
      <c r="CB31">
        <v>0</v>
      </c>
      <c r="CC31" t="str">
        <v>Admission</v>
      </c>
      <c r="CD31" t="str">
        <v>Main PMB Website</v>
      </c>
      <c r="CE31" t="str">
        <v>Yes</v>
      </c>
      <c r="CI31" t="str">
        <v>https://pmb.widyatama.ac.id/democracy-in-indonesia-why-it-feels-weak-at-the-grassroots-3/</v>
      </c>
      <c r="CK31" t="str">
        <v>democracy-in-indonesia-why-it-feels-weak-at-the-grassroots-3</v>
      </c>
      <c r="CV31" t="str">
        <v>Admission</v>
      </c>
      <c r="DG31" t="str">
        <v>Admission</v>
      </c>
      <c r="DV31" t="str">
        <v>Core PMB Website</v>
      </c>
      <c r="DW31" t="str">
        <v>Yes</v>
      </c>
      <c r="EA31" t="str">
        <v>P1 - Critical</v>
      </c>
    </row>
    <row r="32" spans="1:131">
      <c r="A32" t="str">
        <v>https://pmb.widyatama.ac.id/jalur-seleksi-mandiri/</v>
      </c>
      <c r="B32" t="str">
        <v>text/html; charset=UTF-8</v>
      </c>
      <c r="C32">
        <v>200</v>
      </c>
      <c r="D32">
        <v>0</v>
      </c>
      <c r="E32" t="str">
        <v>Indexable</v>
      </c>
      <c r="F32">
        <v>0</v>
      </c>
      <c r="G32" t="str">
        <v>Jalur Seleksi Mandiri - PMB UTama</v>
      </c>
      <c r="H32">
        <v>33</v>
      </c>
      <c r="I32">
        <v>313</v>
      </c>
      <c r="J32">
        <v>0</v>
      </c>
      <c r="K32">
        <v>0</v>
      </c>
      <c r="L32">
        <v>0</v>
      </c>
      <c r="M32">
        <v>0</v>
      </c>
      <c r="N32">
        <v>0</v>
      </c>
      <c r="O32" t="str">
        <v>Jalur Seleksi Beasiswa Mandiri Diploma &amp; Sarjana</v>
      </c>
      <c r="P32">
        <v>48</v>
      </c>
      <c r="Q32">
        <v>0</v>
      </c>
      <c r="R32">
        <v>0</v>
      </c>
      <c r="S32" t="str">
        <v>Kesempatan strategis bagi calon mahasiswa yang ingin tetap bergabung pada tahun akademik berjalan.</v>
      </c>
      <c r="T32">
        <v>98</v>
      </c>
      <c r="U32" t="str">
        <v>Jalur Mandiri Cocok untuk Calon Mahasiswa yang Masih Ingin Bergabung di Tahap Akhir PMB</v>
      </c>
      <c r="V32">
        <v>87</v>
      </c>
      <c r="W32" t="str">
        <v>index, follow, max-image-preview:large, max-snippet:-1, max-video-preview:-1</v>
      </c>
      <c r="X32">
        <v>0</v>
      </c>
      <c r="Y32">
        <v>0</v>
      </c>
      <c r="Z32" t="str">
        <v>https://pmb.widyatama.ac.id/jalur-seleksi-mandiri/</v>
      </c>
      <c r="AA32">
        <v>0</v>
      </c>
      <c r="AB32">
        <v>0</v>
      </c>
      <c r="AC32">
        <v>0</v>
      </c>
      <c r="AD32">
        <v>0</v>
      </c>
      <c r="AE32">
        <v>0</v>
      </c>
      <c r="AF32">
        <v>177253</v>
      </c>
      <c r="AG32">
        <v>37712</v>
      </c>
      <c r="AH32">
        <v>2741274</v>
      </c>
      <c r="AI32">
        <v>971795</v>
      </c>
      <c r="AJ32" t="str">
        <v>F</v>
      </c>
      <c r="AK32">
        <v>828</v>
      </c>
      <c r="AL32">
        <v>168</v>
      </c>
      <c r="AM32">
        <v>4929</v>
      </c>
      <c r="AN32">
        <v>16183</v>
      </c>
      <c r="AO32" t="str">
        <v>Very Hard</v>
      </c>
      <c r="AP32">
        <v>3061</v>
      </c>
      <c r="AQ32">
        <v>2</v>
      </c>
      <c r="AR32">
        <v>1</v>
      </c>
      <c r="AS32">
        <v>0</v>
      </c>
      <c r="AT32">
        <v>13</v>
      </c>
      <c r="AU32">
        <v>8</v>
      </c>
      <c r="AV32">
        <v>1</v>
      </c>
      <c r="AW32">
        <v>9200</v>
      </c>
      <c r="AX32">
        <v>129</v>
      </c>
      <c r="AY32">
        <v>35</v>
      </c>
      <c r="AZ32">
        <v>0</v>
      </c>
      <c r="BA32">
        <v>16</v>
      </c>
      <c r="BB32">
        <v>8</v>
      </c>
      <c r="BC32">
        <v>3</v>
      </c>
      <c r="BD32">
        <v>0</v>
      </c>
      <c r="BE32">
        <v>0</v>
      </c>
      <c r="BF32">
        <v>0</v>
      </c>
      <c r="BG32">
        <v>0</v>
      </c>
      <c r="BH32" t="str">
        <v>f642e847b9453ecc9a95b1a008a327b8</v>
      </c>
      <c r="BI32" t="str">
        <v>0.324</v>
      </c>
      <c r="BJ32" t="str">
        <v>Saturday, 15-Aug-2026 09:59:16 GMT</v>
      </c>
      <c r="BK32">
        <v>0</v>
      </c>
      <c r="BL32">
        <v>0</v>
      </c>
      <c r="BM32">
        <v>0</v>
      </c>
      <c r="BN32" t="str">
        <v>en-US</v>
      </c>
      <c r="BO32" t="str">
        <v>2.0</v>
      </c>
      <c r="BP32">
        <v>0</v>
      </c>
      <c r="BQ32" t="str">
        <v>https://pmb.widyatama.ac.id/jalur-seleksi-mandiri/</v>
      </c>
      <c r="BR32">
        <v>46249.707824074074</v>
      </c>
      <c r="BZ32" t="str">
        <v>https://pmb.widyatama.ac.id/jalur-seleksi-mandiri/</v>
      </c>
      <c r="CA32" t="str">
        <v>Indexable</v>
      </c>
      <c r="CB32">
        <v>0</v>
      </c>
      <c r="CC32" t="str">
        <v>Admission</v>
      </c>
      <c r="CD32" t="str">
        <v>Main PMB Website</v>
      </c>
      <c r="CE32" t="str">
        <v>Yes</v>
      </c>
      <c r="CI32" t="str">
        <v>https://online.pmb.widyatama.ac.id/register/rpl</v>
      </c>
      <c r="CK32" t="str">
        <v>register</v>
      </c>
      <c r="CV32" t="str">
        <v>Admission</v>
      </c>
      <c r="DG32" t="str">
        <v>Admission</v>
      </c>
      <c r="DV32" t="str">
        <v>Core PMB Website</v>
      </c>
      <c r="DW32" t="str">
        <v>Yes</v>
      </c>
      <c r="EA32" t="str">
        <v>P1 - Critical</v>
      </c>
    </row>
    <row r="33" spans="1:131">
      <c r="A33" t="str">
        <v>https://pmb.widyatama.ac.id/jalur-seleksi-pmdk/</v>
      </c>
      <c r="B33" t="str">
        <v>text/html; charset=UTF-8</v>
      </c>
      <c r="C33">
        <v>200</v>
      </c>
      <c r="D33">
        <v>0</v>
      </c>
      <c r="E33" t="str">
        <v>Indexable</v>
      </c>
      <c r="F33">
        <v>0</v>
      </c>
      <c r="G33" t="str">
        <v>Jalur Seleksi PMDK - PMB UTama</v>
      </c>
      <c r="H33">
        <v>30</v>
      </c>
      <c r="I33">
        <v>302</v>
      </c>
      <c r="J33">
        <v>0</v>
      </c>
      <c r="K33">
        <v>0</v>
      </c>
      <c r="L33">
        <v>0</v>
      </c>
      <c r="M33">
        <v>0</v>
      </c>
      <c r="N33">
        <v>0</v>
      </c>
      <c r="O33" t="str">
        <v>Jalur Seleksi Beasiswa PMDK Diploma &amp; Sarjana</v>
      </c>
      <c r="P33">
        <v>45</v>
      </c>
      <c r="Q33">
        <v>0</v>
      </c>
      <c r="R33">
        <v>0</v>
      </c>
      <c r="S33" t="str">
        <v>Seleksi berbasis rekam jejak akademik, tanpa tes tertulis.</v>
      </c>
      <c r="T33">
        <v>58</v>
      </c>
      <c r="U33" t="str">
        <v>Jalur PMDK Cocok untuk Siswa dengan Prestasi Akademik Stabil</v>
      </c>
      <c r="V33">
        <v>60</v>
      </c>
      <c r="W33" t="str">
        <v>index, follow, max-image-preview:large, max-snippet:-1, max-video-preview:-1</v>
      </c>
      <c r="X33">
        <v>0</v>
      </c>
      <c r="Y33">
        <v>0</v>
      </c>
      <c r="Z33" t="str">
        <v>https://pmb.widyatama.ac.id/jalur-seleksi-pmdk/</v>
      </c>
      <c r="AA33">
        <v>0</v>
      </c>
      <c r="AB33">
        <v>0</v>
      </c>
      <c r="AC33">
        <v>0</v>
      </c>
      <c r="AD33">
        <v>0</v>
      </c>
      <c r="AE33">
        <v>0</v>
      </c>
      <c r="AF33">
        <v>176604</v>
      </c>
      <c r="AG33">
        <v>38156</v>
      </c>
      <c r="AH33">
        <v>3323941</v>
      </c>
      <c r="AI33">
        <v>1178354</v>
      </c>
      <c r="AJ33" t="str">
        <v>F</v>
      </c>
      <c r="AK33">
        <v>776</v>
      </c>
      <c r="AL33">
        <v>157</v>
      </c>
      <c r="AM33">
        <v>4943</v>
      </c>
      <c r="AN33">
        <v>22806</v>
      </c>
      <c r="AO33" t="str">
        <v>Very Hard</v>
      </c>
      <c r="AP33">
        <v>2908</v>
      </c>
      <c r="AQ33">
        <v>2</v>
      </c>
      <c r="AR33">
        <v>1</v>
      </c>
      <c r="AS33">
        <v>0</v>
      </c>
      <c r="AT33">
        <v>13</v>
      </c>
      <c r="AU33">
        <v>8</v>
      </c>
      <c r="AV33">
        <v>1</v>
      </c>
      <c r="AW33">
        <v>9200</v>
      </c>
      <c r="AX33">
        <v>129</v>
      </c>
      <c r="AY33">
        <v>35</v>
      </c>
      <c r="AZ33">
        <v>0</v>
      </c>
      <c r="BA33">
        <v>16</v>
      </c>
      <c r="BB33">
        <v>8</v>
      </c>
      <c r="BC33">
        <v>3</v>
      </c>
      <c r="BD33">
        <v>0</v>
      </c>
      <c r="BE33">
        <v>0</v>
      </c>
      <c r="BF33">
        <v>0</v>
      </c>
      <c r="BG33">
        <v>0</v>
      </c>
      <c r="BH33" t="str">
        <v>10ba975958da0bb9be83f54a2a27d928</v>
      </c>
      <c r="BI33" t="str">
        <v>0.422</v>
      </c>
      <c r="BJ33" t="str">
        <v>Saturday, 15-Aug-2026 09:59:15 GMT</v>
      </c>
      <c r="BK33">
        <v>0</v>
      </c>
      <c r="BL33">
        <v>0</v>
      </c>
      <c r="BM33">
        <v>0</v>
      </c>
      <c r="BN33" t="str">
        <v>en-US</v>
      </c>
      <c r="BO33" t="str">
        <v>None</v>
      </c>
      <c r="BP33">
        <v>0</v>
      </c>
      <c r="BQ33" t="str">
        <v>https://pmb.widyatama.ac.id/jalur-seleksi-pmdk/</v>
      </c>
      <c r="BR33">
        <v>46249.707812499997</v>
      </c>
      <c r="BZ33" t="str">
        <v>https://pmb.widyatama.ac.id/jalur-seleksi-pmdk/</v>
      </c>
      <c r="CA33" t="str">
        <v>Indexable</v>
      </c>
      <c r="CB33">
        <v>0</v>
      </c>
      <c r="CC33" t="str">
        <v>Admission</v>
      </c>
      <c r="CD33" t="str">
        <v>Main PMB Website</v>
      </c>
      <c r="CE33" t="str">
        <v>Yes</v>
      </c>
      <c r="CI33" t="str">
        <v>https://online.pmb.widyatama.ac.id/register/reg</v>
      </c>
      <c r="CK33" t="str">
        <v>register</v>
      </c>
      <c r="CV33" t="str">
        <v>Admission</v>
      </c>
      <c r="DG33" t="str">
        <v>Admission</v>
      </c>
      <c r="DV33" t="str">
        <v>Core PMB Website</v>
      </c>
      <c r="DW33" t="str">
        <v>Yes</v>
      </c>
      <c r="EA33" t="str">
        <v>P1 - Critical</v>
      </c>
    </row>
    <row r="34" spans="1:131">
      <c r="A34" t="str">
        <v>https://pmb.widyatama.ac.id/jalur-seleksi-utama/</v>
      </c>
      <c r="B34" t="str">
        <v>text/html; charset=UTF-8</v>
      </c>
      <c r="C34">
        <v>200</v>
      </c>
      <c r="D34">
        <v>0</v>
      </c>
      <c r="E34" t="str">
        <v>Indexable</v>
      </c>
      <c r="F34">
        <v>0</v>
      </c>
      <c r="G34" t="str">
        <v>Jalur Seleksi UTama - PMB UTama</v>
      </c>
      <c r="H34">
        <v>31</v>
      </c>
      <c r="I34">
        <v>310</v>
      </c>
      <c r="J34">
        <v>0</v>
      </c>
      <c r="K34">
        <v>0</v>
      </c>
      <c r="L34">
        <v>0</v>
      </c>
      <c r="M34">
        <v>0</v>
      </c>
      <c r="N34">
        <v>0</v>
      </c>
      <c r="O34" t="str">
        <v>Jalur Seleksi Beasiswa UTama Diploma &amp; Sarjana</v>
      </c>
      <c r="P34">
        <v>46</v>
      </c>
      <c r="Q34">
        <v>0</v>
      </c>
      <c r="R34">
        <v>0</v>
      </c>
      <c r="S34" t="str">
        <v>Beasiswa penuh untuk siswa dengan capaian akademik tertinggi.</v>
      </c>
      <c r="T34">
        <v>61</v>
      </c>
      <c r="U34" t="str">
        <v>Jalur UTama Ditujukan bagi Calon Mahasiswa dengan Prestasi Akademik Sangat Tinggi</v>
      </c>
      <c r="V34">
        <v>81</v>
      </c>
      <c r="W34" t="str">
        <v>index, follow, max-image-preview:large, max-snippet:-1, max-video-preview:-1</v>
      </c>
      <c r="X34">
        <v>0</v>
      </c>
      <c r="Y34">
        <v>0</v>
      </c>
      <c r="Z34" t="str">
        <v>https://pmb.widyatama.ac.id/jalur-seleksi-utama/</v>
      </c>
      <c r="AA34">
        <v>0</v>
      </c>
      <c r="AB34">
        <v>0</v>
      </c>
      <c r="AC34">
        <v>0</v>
      </c>
      <c r="AD34">
        <v>0</v>
      </c>
      <c r="AE34">
        <v>0</v>
      </c>
      <c r="AF34">
        <v>173836</v>
      </c>
      <c r="AG34">
        <v>38024</v>
      </c>
      <c r="AH34">
        <v>3163009</v>
      </c>
      <c r="AI34">
        <v>1121303</v>
      </c>
      <c r="AJ34" t="str">
        <v>F</v>
      </c>
      <c r="AK34">
        <v>780</v>
      </c>
      <c r="AL34">
        <v>156</v>
      </c>
      <c r="AM34">
        <v>5000</v>
      </c>
      <c r="AN34">
        <v>6963</v>
      </c>
      <c r="AO34" t="str">
        <v>Very Hard</v>
      </c>
      <c r="AP34">
        <v>3012</v>
      </c>
      <c r="AQ34">
        <v>2</v>
      </c>
      <c r="AR34">
        <v>1</v>
      </c>
      <c r="AS34">
        <v>0</v>
      </c>
      <c r="AT34">
        <v>13</v>
      </c>
      <c r="AU34">
        <v>8</v>
      </c>
      <c r="AV34">
        <v>1</v>
      </c>
      <c r="AW34">
        <v>9200</v>
      </c>
      <c r="AX34">
        <v>127</v>
      </c>
      <c r="AY34">
        <v>35</v>
      </c>
      <c r="AZ34">
        <v>0</v>
      </c>
      <c r="BA34">
        <v>16</v>
      </c>
      <c r="BB34">
        <v>8</v>
      </c>
      <c r="BC34">
        <v>3</v>
      </c>
      <c r="BD34">
        <v>0</v>
      </c>
      <c r="BE34">
        <v>0</v>
      </c>
      <c r="BF34">
        <v>0</v>
      </c>
      <c r="BG34">
        <v>0</v>
      </c>
      <c r="BH34" t="str">
        <v>7aae4c375f577f690baf8d20f7c69fbc</v>
      </c>
      <c r="BI34" t="str">
        <v>0.415</v>
      </c>
      <c r="BJ34" t="str">
        <v>Saturday, 15-Aug-2026 09:59:17 GMT</v>
      </c>
      <c r="BK34">
        <v>0</v>
      </c>
      <c r="BL34">
        <v>0</v>
      </c>
      <c r="BM34">
        <v>0</v>
      </c>
      <c r="BN34" t="str">
        <v>en-US</v>
      </c>
      <c r="BO34" t="str">
        <v>None</v>
      </c>
      <c r="BP34">
        <v>0</v>
      </c>
      <c r="BQ34" t="str">
        <v>https://pmb.widyatama.ac.id/jalur-seleksi-utama/</v>
      </c>
      <c r="BR34">
        <v>46249.707824074074</v>
      </c>
      <c r="BZ34" t="str">
        <v>https://pmb.widyatama.ac.id/jalur-seleksi-utama/</v>
      </c>
      <c r="CA34" t="str">
        <v>Indexable</v>
      </c>
      <c r="CB34">
        <v>0</v>
      </c>
      <c r="CC34" t="str">
        <v>Admission</v>
      </c>
      <c r="CD34" t="str">
        <v>Main PMB Website</v>
      </c>
      <c r="CE34" t="str">
        <v>Yes</v>
      </c>
      <c r="CI34" t="str">
        <v>https://online.pmb.widyatama.ac.id/register/sps</v>
      </c>
      <c r="CK34" t="str">
        <v>register</v>
      </c>
      <c r="CV34" t="str">
        <v>Admission</v>
      </c>
      <c r="DG34" t="str">
        <v>Admission</v>
      </c>
      <c r="DV34" t="str">
        <v>Core PMB Website</v>
      </c>
      <c r="DW34" t="str">
        <v>Yes</v>
      </c>
      <c r="EA34" t="str">
        <v>P1 - Critical</v>
      </c>
    </row>
    <row r="35" spans="1:131">
      <c r="A35" t="str">
        <v>https://pmb.widyatama.ac.id/jalur-doktoral-reguler/</v>
      </c>
      <c r="B35" t="str">
        <v>text/html; charset=UTF-8</v>
      </c>
      <c r="C35">
        <v>200</v>
      </c>
      <c r="D35">
        <v>0</v>
      </c>
      <c r="E35" t="str">
        <v>Indexable</v>
      </c>
      <c r="F35">
        <v>0</v>
      </c>
      <c r="G35" t="str">
        <v>Jalur Doktoral Reguler - PMB UTama</v>
      </c>
      <c r="H35">
        <v>34</v>
      </c>
      <c r="I35">
        <v>323</v>
      </c>
      <c r="J35">
        <v>0</v>
      </c>
      <c r="K35">
        <v>0</v>
      </c>
      <c r="L35">
        <v>0</v>
      </c>
      <c r="M35">
        <v>0</v>
      </c>
      <c r="N35">
        <v>0</v>
      </c>
      <c r="O35" t="str">
        <v>Jalur Doktoral Reguler Universitas Widyatama</v>
      </c>
      <c r="P35">
        <v>44</v>
      </c>
      <c r="Q35">
        <v>0</v>
      </c>
      <c r="R35">
        <v>0</v>
      </c>
      <c r="S35" t="str">
        <v>Bangun kontribusi ilmiah melalui penelitian yang terstruktur, mendalam, dan berdampak.</v>
      </c>
      <c r="T35">
        <v>86</v>
      </c>
      <c r="U35" t="str">
        <v>Jalur Doktoral Cocok untuk Lulusan Magister yang Siap Mengembangkan Riset Mandiri</v>
      </c>
      <c r="V35">
        <v>81</v>
      </c>
      <c r="W35" t="str">
        <v>index, follow, max-image-preview:large, max-snippet:-1, max-video-preview:-1</v>
      </c>
      <c r="X35">
        <v>0</v>
      </c>
      <c r="Y35">
        <v>0</v>
      </c>
      <c r="Z35" t="str">
        <v>https://pmb.widyatama.ac.id/jalur-doktoral-reguler/</v>
      </c>
      <c r="AA35">
        <v>0</v>
      </c>
      <c r="AB35">
        <v>0</v>
      </c>
      <c r="AC35">
        <v>0</v>
      </c>
      <c r="AD35">
        <v>0</v>
      </c>
      <c r="AE35">
        <v>0</v>
      </c>
      <c r="AF35">
        <v>171868</v>
      </c>
      <c r="AG35">
        <v>37542</v>
      </c>
      <c r="AH35">
        <v>2797898</v>
      </c>
      <c r="AI35">
        <v>991869</v>
      </c>
      <c r="AJ35" t="str">
        <v>F</v>
      </c>
      <c r="AK35">
        <v>828</v>
      </c>
      <c r="AL35">
        <v>168</v>
      </c>
      <c r="AM35">
        <v>4929</v>
      </c>
      <c r="AN35" t="str">
        <v>0.000</v>
      </c>
      <c r="AO35" t="str">
        <v>Very Hard</v>
      </c>
      <c r="AP35">
        <v>3395</v>
      </c>
      <c r="AQ35">
        <v>2</v>
      </c>
      <c r="AR35">
        <v>1</v>
      </c>
      <c r="AS35">
        <v>0</v>
      </c>
      <c r="AT35">
        <v>10</v>
      </c>
      <c r="AU35">
        <v>5</v>
      </c>
      <c r="AV35">
        <v>1</v>
      </c>
      <c r="AW35">
        <v>5750</v>
      </c>
      <c r="AX35">
        <v>127</v>
      </c>
      <c r="AY35">
        <v>33</v>
      </c>
      <c r="AZ35">
        <v>1</v>
      </c>
      <c r="BA35">
        <v>16</v>
      </c>
      <c r="BB35">
        <v>8</v>
      </c>
      <c r="BC35">
        <v>3</v>
      </c>
      <c r="BD35">
        <v>0</v>
      </c>
      <c r="BE35">
        <v>0</v>
      </c>
      <c r="BF35">
        <v>0</v>
      </c>
      <c r="BG35">
        <v>0</v>
      </c>
      <c r="BH35" t="str">
        <v>3de904ab07eebaf17ea60b500da2c80d</v>
      </c>
      <c r="BI35">
        <v>4114</v>
      </c>
      <c r="BJ35" t="str">
        <v>Saturday, 15-Aug-2026 09:59:20 GMT</v>
      </c>
      <c r="BK35">
        <v>0</v>
      </c>
      <c r="BL35">
        <v>0</v>
      </c>
      <c r="BM35">
        <v>0</v>
      </c>
      <c r="BN35" t="str">
        <v>en-US</v>
      </c>
      <c r="BO35" t="str">
        <v>2.0</v>
      </c>
      <c r="BP35">
        <v>0</v>
      </c>
      <c r="BQ35" t="str">
        <v>https://pmb.widyatama.ac.id/jalur-doktoral-reguler/</v>
      </c>
      <c r="BR35">
        <v>46249.707824074074</v>
      </c>
      <c r="BZ35" t="str">
        <v>https://pmb.widyatama.ac.id/jalur-doktoral-reguler/</v>
      </c>
      <c r="CA35" t="str">
        <v>Indexable</v>
      </c>
      <c r="CB35">
        <v>0</v>
      </c>
      <c r="CC35" t="str">
        <v>Admission</v>
      </c>
      <c r="CD35" t="str">
        <v>Main PMB Website</v>
      </c>
      <c r="CE35" t="str">
        <v>Yes</v>
      </c>
      <c r="CI35" t="str">
        <v>https://online.pmb.widyatama.ac.id/hasil</v>
      </c>
      <c r="CK35" t="str">
        <v>hasil</v>
      </c>
      <c r="CV35" t="str">
        <v>Admission</v>
      </c>
      <c r="DG35" t="str">
        <v>Admission</v>
      </c>
      <c r="DV35" t="str">
        <v>Core PMB Website</v>
      </c>
      <c r="DW35" t="str">
        <v>Yes</v>
      </c>
      <c r="EA35" t="str">
        <v>P1 - Critical</v>
      </c>
    </row>
    <row r="36" spans="1:131">
      <c r="A36" t="str">
        <v>https://pmb.widyatama.ac.id/jalur-seleksi-reguler/</v>
      </c>
      <c r="B36" t="str">
        <v>text/html; charset=UTF-8</v>
      </c>
      <c r="C36">
        <v>200</v>
      </c>
      <c r="D36">
        <v>0</v>
      </c>
      <c r="E36" t="str">
        <v>Indexable</v>
      </c>
      <c r="F36">
        <v>0</v>
      </c>
      <c r="G36" t="str">
        <v>Jalur Seleksi Reguler - PMB UTama</v>
      </c>
      <c r="H36">
        <v>33</v>
      </c>
      <c r="I36">
        <v>312</v>
      </c>
      <c r="J36">
        <v>0</v>
      </c>
      <c r="K36">
        <v>0</v>
      </c>
      <c r="L36">
        <v>0</v>
      </c>
      <c r="M36">
        <v>0</v>
      </c>
      <c r="N36">
        <v>0</v>
      </c>
      <c r="O36" t="str">
        <v>Jalur Seleksi Reguler</v>
      </c>
      <c r="P36">
        <v>21</v>
      </c>
      <c r="Q36" t="str">
        <v>Jalur Seleksi Reguler Universitas Widyatama</v>
      </c>
      <c r="R36">
        <v>43</v>
      </c>
      <c r="S36" t="str">
        <v>Jalur utama dengan pilihan metode seleksi yang fleksibel.</v>
      </c>
      <c r="T36">
        <v>57</v>
      </c>
      <c r="U36" t="str">
        <v>Jalur Reguler Cocok untuk Calon Mahasiswa yang Ingin Proses Seleksi Lebih Fleksibel</v>
      </c>
      <c r="V36">
        <v>83</v>
      </c>
      <c r="W36" t="str">
        <v>index, follow, max-image-preview:large, max-snippet:-1, max-video-preview:-1</v>
      </c>
      <c r="X36">
        <v>0</v>
      </c>
      <c r="Y36">
        <v>0</v>
      </c>
      <c r="Z36" t="str">
        <v>https://pmb.widyatama.ac.id/jalur-seleksi-reguler/</v>
      </c>
      <c r="AA36">
        <v>0</v>
      </c>
      <c r="AB36">
        <v>0</v>
      </c>
      <c r="AC36">
        <v>0</v>
      </c>
      <c r="AD36">
        <v>0</v>
      </c>
      <c r="AE36">
        <v>0</v>
      </c>
      <c r="AF36">
        <v>174443</v>
      </c>
      <c r="AG36">
        <v>37348</v>
      </c>
      <c r="AH36">
        <v>2559348</v>
      </c>
      <c r="AI36">
        <v>907302</v>
      </c>
      <c r="AJ36" t="str">
        <v>F</v>
      </c>
      <c r="AK36">
        <v>746</v>
      </c>
      <c r="AL36">
        <v>155</v>
      </c>
      <c r="AM36">
        <v>4813</v>
      </c>
      <c r="AN36">
        <v>16193</v>
      </c>
      <c r="AO36" t="str">
        <v>Very Hard</v>
      </c>
      <c r="AP36">
        <v>2901</v>
      </c>
      <c r="AQ36">
        <v>2</v>
      </c>
      <c r="AR36">
        <v>1</v>
      </c>
      <c r="AS36">
        <v>0</v>
      </c>
      <c r="AT36">
        <v>13</v>
      </c>
      <c r="AU36">
        <v>8</v>
      </c>
      <c r="AV36">
        <v>1</v>
      </c>
      <c r="AW36">
        <v>9200</v>
      </c>
      <c r="AX36">
        <v>129</v>
      </c>
      <c r="AY36">
        <v>35</v>
      </c>
      <c r="AZ36">
        <v>0</v>
      </c>
      <c r="BA36">
        <v>16</v>
      </c>
      <c r="BB36">
        <v>9</v>
      </c>
      <c r="BC36">
        <v>3</v>
      </c>
      <c r="BD36">
        <v>0</v>
      </c>
      <c r="BE36">
        <v>0</v>
      </c>
      <c r="BF36">
        <v>0</v>
      </c>
      <c r="BG36">
        <v>0</v>
      </c>
      <c r="BH36" t="str">
        <v>c8221f55253f18672aeca85225f26ded</v>
      </c>
      <c r="BI36" t="str">
        <v>0.153</v>
      </c>
      <c r="BJ36" t="str">
        <v>Saturday, 15-Aug-2026 09:59:17 GMT</v>
      </c>
      <c r="BK36">
        <v>0</v>
      </c>
      <c r="BL36">
        <v>0</v>
      </c>
      <c r="BM36">
        <v>0</v>
      </c>
      <c r="BN36" t="str">
        <v>en-US</v>
      </c>
      <c r="BO36" t="str">
        <v>2.0</v>
      </c>
      <c r="BP36">
        <v>0</v>
      </c>
      <c r="BQ36" t="str">
        <v>https://pmb.widyatama.ac.id/jalur-seleksi-reguler/</v>
      </c>
      <c r="BR36">
        <v>46249.707824074074</v>
      </c>
      <c r="BZ36" t="str">
        <v>https://pmb.widyatama.ac.id/jalur-seleksi-reguler/</v>
      </c>
      <c r="CA36" t="str">
        <v>Indexable</v>
      </c>
      <c r="CB36">
        <v>0</v>
      </c>
      <c r="CC36" t="str">
        <v>Admission</v>
      </c>
      <c r="CD36" t="str">
        <v>Main PMB Website</v>
      </c>
      <c r="CE36" t="str">
        <v>Yes</v>
      </c>
      <c r="CI36" t="str">
        <v>https://online.pmb.widyatama.ac.id/auth/forgot_password</v>
      </c>
      <c r="CK36" t="str">
        <v>auth</v>
      </c>
      <c r="CV36" t="str">
        <v>Admission</v>
      </c>
      <c r="DG36" t="str">
        <v>Admission</v>
      </c>
      <c r="DV36" t="str">
        <v>Core PMB Website</v>
      </c>
      <c r="DW36" t="str">
        <v>Yes</v>
      </c>
      <c r="EA36" t="str">
        <v>P1 - Critical</v>
      </c>
    </row>
    <row r="37" spans="1:131">
      <c r="A37" t="str">
        <v>https://pmb.widyatama.ac.id/jalur-seleksi-khusus/</v>
      </c>
      <c r="B37" t="str">
        <v>text/html; charset=UTF-8</v>
      </c>
      <c r="C37">
        <v>200</v>
      </c>
      <c r="D37">
        <v>0</v>
      </c>
      <c r="E37" t="str">
        <v>Indexable</v>
      </c>
      <c r="F37">
        <v>0</v>
      </c>
      <c r="G37" t="str">
        <v>Jalur Seleksi Khusus - PMB UTama</v>
      </c>
      <c r="H37">
        <v>32</v>
      </c>
      <c r="I37">
        <v>313</v>
      </c>
      <c r="J37">
        <v>0</v>
      </c>
      <c r="K37">
        <v>0</v>
      </c>
      <c r="L37">
        <v>0</v>
      </c>
      <c r="M37">
        <v>0</v>
      </c>
      <c r="N37">
        <v>0</v>
      </c>
      <c r="O37" t="str">
        <v>Jalur Seleksi Beasiswa Khusus Diploma &amp; Sarjana</v>
      </c>
      <c r="P37">
        <v>47</v>
      </c>
      <c r="Q37">
        <v>0</v>
      </c>
      <c r="R37">
        <v>0</v>
      </c>
      <c r="S37" t="str">
        <v>Temukan kategori beasiswa yang paling sesuai dengan latar belakang atau prestasi Anda.</v>
      </c>
      <c r="T37">
        <v>86</v>
      </c>
      <c r="U37" t="str">
        <v>Jalur Khusus Cocok untuk Calon Mahasiswa dengan Kriteria atau Latar Belakang Tertentu</v>
      </c>
      <c r="V37">
        <v>85</v>
      </c>
      <c r="W37" t="str">
        <v>index, follow, max-image-preview:large, max-snippet:-1, max-video-preview:-1</v>
      </c>
      <c r="X37">
        <v>0</v>
      </c>
      <c r="Y37">
        <v>0</v>
      </c>
      <c r="Z37" t="str">
        <v>https://pmb.widyatama.ac.id/jalur-seleksi-khusus/</v>
      </c>
      <c r="AA37">
        <v>0</v>
      </c>
      <c r="AB37">
        <v>0</v>
      </c>
      <c r="AC37">
        <v>0</v>
      </c>
      <c r="AD37">
        <v>0</v>
      </c>
      <c r="AE37">
        <v>0</v>
      </c>
      <c r="AF37">
        <v>183632</v>
      </c>
      <c r="AG37">
        <v>39111</v>
      </c>
      <c r="AH37">
        <v>3027622</v>
      </c>
      <c r="AI37">
        <v>1073307</v>
      </c>
      <c r="AJ37" t="str">
        <v>F</v>
      </c>
      <c r="AK37">
        <v>1171</v>
      </c>
      <c r="AL37">
        <v>220</v>
      </c>
      <c r="AM37">
        <v>5323</v>
      </c>
      <c r="AN37">
        <v>4996</v>
      </c>
      <c r="AO37" t="str">
        <v>Very Hard</v>
      </c>
      <c r="AP37">
        <v>3966</v>
      </c>
      <c r="AQ37">
        <v>2</v>
      </c>
      <c r="AR37">
        <v>1</v>
      </c>
      <c r="AS37">
        <v>0</v>
      </c>
      <c r="AT37">
        <v>13</v>
      </c>
      <c r="AU37">
        <v>8</v>
      </c>
      <c r="AV37">
        <v>1</v>
      </c>
      <c r="AW37">
        <v>9200</v>
      </c>
      <c r="AX37">
        <v>129</v>
      </c>
      <c r="AY37">
        <v>35</v>
      </c>
      <c r="AZ37">
        <v>0</v>
      </c>
      <c r="BA37">
        <v>16</v>
      </c>
      <c r="BB37">
        <v>8</v>
      </c>
      <c r="BC37">
        <v>3</v>
      </c>
      <c r="BD37">
        <v>0</v>
      </c>
      <c r="BE37">
        <v>0</v>
      </c>
      <c r="BF37">
        <v>0</v>
      </c>
      <c r="BG37">
        <v>0</v>
      </c>
      <c r="BH37" t="str">
        <v>a68ac334863a6abb09583bad6224ca3b</v>
      </c>
      <c r="BI37" t="str">
        <v>0.133</v>
      </c>
      <c r="BJ37" t="str">
        <v>Saturday, 15-Aug-2026 09:59:35 GMT</v>
      </c>
      <c r="BK37">
        <v>0</v>
      </c>
      <c r="BL37">
        <v>0</v>
      </c>
      <c r="BM37">
        <v>0</v>
      </c>
      <c r="BN37" t="str">
        <v>en-US</v>
      </c>
      <c r="BO37" t="str">
        <v>None</v>
      </c>
      <c r="BP37">
        <v>0</v>
      </c>
      <c r="BQ37" t="str">
        <v>https://pmb.widyatama.ac.id/jalur-seleksi-khusus/</v>
      </c>
      <c r="BR37">
        <v>46249.708032407405</v>
      </c>
      <c r="BZ37" t="str">
        <v>https://pmb.widyatama.ac.id/jalur-seleksi-khusus/</v>
      </c>
      <c r="CA37" t="str">
        <v>Indexable</v>
      </c>
      <c r="CB37">
        <v>0</v>
      </c>
      <c r="CC37" t="str">
        <v>Admission</v>
      </c>
      <c r="CD37" t="str">
        <v>Main PMB Website</v>
      </c>
      <c r="CE37" t="str">
        <v>Yes</v>
      </c>
      <c r="CI37" t="str">
        <v>https://pmb.widyatama.ac.id/category/science-and-technology/</v>
      </c>
      <c r="CK37" t="str">
        <v>category</v>
      </c>
      <c r="CV37" t="str">
        <v>Admission</v>
      </c>
      <c r="DG37" t="str">
        <v>Admission</v>
      </c>
      <c r="DV37" t="str">
        <v>Core PMB Website</v>
      </c>
      <c r="DW37" t="str">
        <v>Yes</v>
      </c>
      <c r="EA37" t="str">
        <v>P1 - Critical</v>
      </c>
    </row>
    <row r="38" spans="1:131">
      <c r="A38" t="str">
        <v>https://pmb.widyatama.ac.id/jalur-seleksi-prioritas/</v>
      </c>
      <c r="B38" t="str">
        <v>text/html; charset=UTF-8</v>
      </c>
      <c r="C38">
        <v>200</v>
      </c>
      <c r="D38">
        <v>0</v>
      </c>
      <c r="E38" t="str">
        <v>Indexable</v>
      </c>
      <c r="F38">
        <v>0</v>
      </c>
      <c r="G38" t="str">
        <v>Jalur Seleksi Prioritas - PMB UTama</v>
      </c>
      <c r="H38">
        <v>35</v>
      </c>
      <c r="I38">
        <v>320</v>
      </c>
      <c r="J38">
        <v>0</v>
      </c>
      <c r="K38">
        <v>0</v>
      </c>
      <c r="L38">
        <v>0</v>
      </c>
      <c r="M38">
        <v>0</v>
      </c>
      <c r="N38">
        <v>0</v>
      </c>
      <c r="O38" t="str">
        <v>Jalur Seleksi Beasiswa Prioritas Diploma &amp; Sarjana</v>
      </c>
      <c r="P38">
        <v>50</v>
      </c>
      <c r="Q38">
        <v>0</v>
      </c>
      <c r="R38">
        <v>0</v>
      </c>
      <c r="S38" t="str">
        <v>Jalur strategis untuk siswa unggul yang ingin mengamankan kursi lebih dini.</v>
      </c>
      <c r="T38">
        <v>75</v>
      </c>
      <c r="U38" t="str">
        <v>Jalur Prioritas Cocok untuk Calon Mahasiswa Unggul yang Ingin Kepastian Lebih Awal</v>
      </c>
      <c r="V38">
        <v>82</v>
      </c>
      <c r="W38" t="str">
        <v>index, follow, max-image-preview:large, max-snippet:-1, max-video-preview:-1</v>
      </c>
      <c r="X38">
        <v>0</v>
      </c>
      <c r="Y38">
        <v>0</v>
      </c>
      <c r="Z38" t="str">
        <v>https://pmb.widyatama.ac.id/jalur-seleksi-prioritas/</v>
      </c>
      <c r="AA38">
        <v>0</v>
      </c>
      <c r="AB38">
        <v>0</v>
      </c>
      <c r="AC38">
        <v>0</v>
      </c>
      <c r="AD38">
        <v>0</v>
      </c>
      <c r="AE38">
        <v>0</v>
      </c>
      <c r="AF38">
        <v>176659</v>
      </c>
      <c r="AG38">
        <v>37812</v>
      </c>
      <c r="AH38">
        <v>2187451</v>
      </c>
      <c r="AI38">
        <v>775462</v>
      </c>
      <c r="AJ38" t="str">
        <v>E</v>
      </c>
      <c r="AK38">
        <v>828</v>
      </c>
      <c r="AL38">
        <v>168</v>
      </c>
      <c r="AM38">
        <v>4929</v>
      </c>
      <c r="AN38">
        <v>14241</v>
      </c>
      <c r="AO38" t="str">
        <v>Very Hard</v>
      </c>
      <c r="AP38">
        <v>3102</v>
      </c>
      <c r="AQ38">
        <v>2</v>
      </c>
      <c r="AR38">
        <v>1</v>
      </c>
      <c r="AS38">
        <v>0</v>
      </c>
      <c r="AT38">
        <v>13</v>
      </c>
      <c r="AU38">
        <v>8</v>
      </c>
      <c r="AV38">
        <v>1</v>
      </c>
      <c r="AW38">
        <v>9200</v>
      </c>
      <c r="AX38">
        <v>127</v>
      </c>
      <c r="AY38">
        <v>35</v>
      </c>
      <c r="AZ38">
        <v>0</v>
      </c>
      <c r="BA38">
        <v>16</v>
      </c>
      <c r="BB38">
        <v>8</v>
      </c>
      <c r="BC38">
        <v>3</v>
      </c>
      <c r="BD38">
        <v>0</v>
      </c>
      <c r="BE38">
        <v>0</v>
      </c>
      <c r="BF38">
        <v>0</v>
      </c>
      <c r="BG38">
        <v>0</v>
      </c>
      <c r="BH38" t="str">
        <v>5af8da9339be00b734e11f8923f5fb4</v>
      </c>
      <c r="BI38">
        <v>2343</v>
      </c>
      <c r="BJ38" t="str">
        <v>Saturday, 15-Aug-2026 09:59:41 GMT</v>
      </c>
      <c r="BK38">
        <v>0</v>
      </c>
      <c r="BL38">
        <v>0</v>
      </c>
      <c r="BM38">
        <v>0</v>
      </c>
      <c r="BN38" t="str">
        <v>en-US</v>
      </c>
      <c r="BO38" t="str">
        <v>2.0</v>
      </c>
      <c r="BP38">
        <v>0</v>
      </c>
      <c r="BQ38" t="str">
        <v>https://pmb.widyatama.ac.id/jalur-seleksi-prioritas/</v>
      </c>
      <c r="BR38">
        <v>46249.708078703705</v>
      </c>
      <c r="BZ38" t="str">
        <v>https://pmb.widyatama.ac.id/jalur-seleksi-prioritas/</v>
      </c>
      <c r="CA38" t="str">
        <v>Indexable</v>
      </c>
      <c r="CB38">
        <v>0</v>
      </c>
      <c r="CC38" t="str">
        <v>Admission</v>
      </c>
      <c r="CD38" t="str">
        <v>Main PMB Website</v>
      </c>
      <c r="CE38" t="str">
        <v>Yes</v>
      </c>
      <c r="CI38" t="str">
        <v>https://pmb.widyatama.ac.id/category/medicine/</v>
      </c>
      <c r="CK38" t="str">
        <v>category</v>
      </c>
      <c r="CV38" t="str">
        <v>Admission</v>
      </c>
      <c r="DG38" t="str">
        <v>Admission</v>
      </c>
      <c r="DV38" t="str">
        <v>Core PMB Website</v>
      </c>
      <c r="DW38" t="str">
        <v>Yes</v>
      </c>
      <c r="EA38" t="str">
        <v>P1 - Critical</v>
      </c>
    </row>
    <row r="39" spans="1:131">
      <c r="A39" t="str">
        <v>https://online.pmb.widyatama.ac.id/register/fst</v>
      </c>
      <c r="B39" t="str">
        <v>text/html; charset=utf-8</v>
      </c>
      <c r="C39">
        <v>200</v>
      </c>
      <c r="D39">
        <v>0</v>
      </c>
      <c r="E39" t="str">
        <v>Indexable</v>
      </c>
      <c r="F39">
        <v>0</v>
      </c>
      <c r="G39" t="str">
        <v>PMB | Universitas Widyatama</v>
      </c>
      <c r="H39">
        <v>27</v>
      </c>
      <c r="I39">
        <v>262</v>
      </c>
      <c r="J39">
        <v>0</v>
      </c>
      <c r="K39">
        <v>0</v>
      </c>
      <c r="L39">
        <v>0</v>
      </c>
      <c r="M39">
        <v>0</v>
      </c>
      <c r="N39">
        <v>0</v>
      </c>
      <c r="O39" t="str">
        <v>Form Register PMB Fast Track</v>
      </c>
      <c r="P39">
        <v>28</v>
      </c>
      <c r="Q39">
        <v>0</v>
      </c>
      <c r="R39">
        <v>0</v>
      </c>
      <c r="S39">
        <v>0</v>
      </c>
      <c r="T39">
        <v>0</v>
      </c>
      <c r="U39">
        <v>0</v>
      </c>
      <c r="V39">
        <v>0</v>
      </c>
      <c r="W39">
        <v>0</v>
      </c>
      <c r="X39">
        <v>0</v>
      </c>
      <c r="Y39">
        <v>0</v>
      </c>
      <c r="Z39">
        <v>0</v>
      </c>
      <c r="AA39">
        <v>0</v>
      </c>
      <c r="AB39">
        <v>0</v>
      </c>
      <c r="AC39">
        <v>0</v>
      </c>
      <c r="AD39">
        <v>0</v>
      </c>
      <c r="AE39">
        <v>0</v>
      </c>
      <c r="AF39">
        <v>253823</v>
      </c>
      <c r="AG39">
        <v>22282</v>
      </c>
      <c r="AH39">
        <v>1029809</v>
      </c>
      <c r="AI39">
        <v>365072</v>
      </c>
      <c r="AJ39" t="str">
        <v>C</v>
      </c>
      <c r="AK39">
        <v>2221</v>
      </c>
      <c r="AL39">
        <v>564</v>
      </c>
      <c r="AM39">
        <v>3938</v>
      </c>
      <c r="AN39">
        <v>100000</v>
      </c>
      <c r="AO39" t="str">
        <v>Very Easy</v>
      </c>
      <c r="AP39">
        <v>6581</v>
      </c>
      <c r="AQ39">
        <v>2</v>
      </c>
      <c r="AR39">
        <v>1</v>
      </c>
      <c r="AS39">
        <v>0</v>
      </c>
      <c r="AT39">
        <v>2</v>
      </c>
      <c r="AU39">
        <v>2</v>
      </c>
      <c r="AV39">
        <v>0</v>
      </c>
      <c r="AW39">
        <v>2300</v>
      </c>
      <c r="AX39">
        <v>7</v>
      </c>
      <c r="AY39">
        <v>6</v>
      </c>
      <c r="AZ39">
        <v>0</v>
      </c>
      <c r="BA39">
        <v>2</v>
      </c>
      <c r="BB39">
        <v>2</v>
      </c>
      <c r="BC39">
        <v>0</v>
      </c>
      <c r="BD39">
        <v>0</v>
      </c>
      <c r="BE39">
        <v>0</v>
      </c>
      <c r="BF39">
        <v>0</v>
      </c>
      <c r="BG39">
        <v>0</v>
      </c>
      <c r="BH39" t="str">
        <v>826f104343ca1c1b199b42dfa794895</v>
      </c>
      <c r="BI39" t="str">
        <v>0.388</v>
      </c>
      <c r="BJ39">
        <v>0</v>
      </c>
      <c r="BK39">
        <v>0</v>
      </c>
      <c r="BL39">
        <v>0</v>
      </c>
      <c r="BM39">
        <v>0</v>
      </c>
      <c r="BN39" t="str">
        <v>en</v>
      </c>
      <c r="BO39" t="str">
        <v>2.0</v>
      </c>
      <c r="BP39">
        <v>0</v>
      </c>
      <c r="BQ39" t="str">
        <v>https://online.pmb.widyatama.ac.id/register/fst</v>
      </c>
      <c r="BR39">
        <v>46249.708252314813</v>
      </c>
      <c r="BZ39" t="str">
        <v>https://online.pmb.widyatama.ac.id/register/fst</v>
      </c>
      <c r="CA39" t="str">
        <v>Indexable</v>
      </c>
      <c r="CB39">
        <v>0</v>
      </c>
      <c r="CC39" t="str">
        <v>Other</v>
      </c>
      <c r="CD39" t="str">
        <v>Online Registration System</v>
      </c>
      <c r="CE39" t="str">
        <v>Yes</v>
      </c>
      <c r="CI39" t="str">
        <v>https://pmb.widyatama.ac.id/category/law-and-policy/</v>
      </c>
      <c r="CK39" t="str">
        <v>category</v>
      </c>
      <c r="CV39" t="str">
        <v>Registration System</v>
      </c>
      <c r="DG39" t="str">
        <v>Registration System</v>
      </c>
      <c r="DV39" t="str">
        <v>Registration System</v>
      </c>
      <c r="DW39" t="str">
        <v>Yes</v>
      </c>
      <c r="EA39" t="str">
        <v>P1 - Critical</v>
      </c>
    </row>
    <row r="40" spans="1:131">
      <c r="A40" t="str">
        <v>https://online.pmb.widyatama.ac.id/register/kk</v>
      </c>
      <c r="B40" t="str">
        <v>text/html; charset=utf-8</v>
      </c>
      <c r="C40">
        <v>200</v>
      </c>
      <c r="D40">
        <v>0</v>
      </c>
      <c r="E40" t="str">
        <v>Indexable</v>
      </c>
      <c r="F40">
        <v>0</v>
      </c>
      <c r="G40" t="str">
        <v>PMB | Universitas Widyatama</v>
      </c>
      <c r="H40">
        <v>27</v>
      </c>
      <c r="I40">
        <v>262</v>
      </c>
      <c r="J40">
        <v>0</v>
      </c>
      <c r="K40">
        <v>0</v>
      </c>
      <c r="L40">
        <v>0</v>
      </c>
      <c r="M40">
        <v>0</v>
      </c>
      <c r="N40">
        <v>0</v>
      </c>
      <c r="O40" t="str">
        <v>Form Register PMB Kelas Sore</v>
      </c>
      <c r="P40">
        <v>28</v>
      </c>
      <c r="Q40">
        <v>0</v>
      </c>
      <c r="R40">
        <v>0</v>
      </c>
      <c r="S40">
        <v>0</v>
      </c>
      <c r="T40">
        <v>0</v>
      </c>
      <c r="U40">
        <v>0</v>
      </c>
      <c r="V40">
        <v>0</v>
      </c>
      <c r="W40">
        <v>0</v>
      </c>
      <c r="X40">
        <v>0</v>
      </c>
      <c r="Y40">
        <v>0</v>
      </c>
      <c r="Z40">
        <v>0</v>
      </c>
      <c r="AA40">
        <v>0</v>
      </c>
      <c r="AB40">
        <v>0</v>
      </c>
      <c r="AC40">
        <v>0</v>
      </c>
      <c r="AD40">
        <v>0</v>
      </c>
      <c r="AE40">
        <v>0</v>
      </c>
      <c r="AF40">
        <v>259579</v>
      </c>
      <c r="AG40">
        <v>22627</v>
      </c>
      <c r="AH40">
        <v>1028163</v>
      </c>
      <c r="AI40">
        <v>364489</v>
      </c>
      <c r="AJ40" t="str">
        <v>C</v>
      </c>
      <c r="AK40">
        <v>2220</v>
      </c>
      <c r="AL40">
        <v>563</v>
      </c>
      <c r="AM40">
        <v>3943</v>
      </c>
      <c r="AN40">
        <v>100000</v>
      </c>
      <c r="AO40" t="str">
        <v>Very Easy</v>
      </c>
      <c r="AP40">
        <v>6199</v>
      </c>
      <c r="AQ40">
        <v>2</v>
      </c>
      <c r="AR40">
        <v>1</v>
      </c>
      <c r="AS40">
        <v>0</v>
      </c>
      <c r="AT40">
        <v>2</v>
      </c>
      <c r="AU40">
        <v>2</v>
      </c>
      <c r="AV40">
        <v>0</v>
      </c>
      <c r="AW40">
        <v>2300</v>
      </c>
      <c r="AX40">
        <v>7</v>
      </c>
      <c r="AY40">
        <v>6</v>
      </c>
      <c r="AZ40">
        <v>0</v>
      </c>
      <c r="BA40">
        <v>2</v>
      </c>
      <c r="BB40">
        <v>2</v>
      </c>
      <c r="BC40">
        <v>0</v>
      </c>
      <c r="BD40">
        <v>0</v>
      </c>
      <c r="BE40">
        <v>0</v>
      </c>
      <c r="BF40">
        <v>0</v>
      </c>
      <c r="BG40">
        <v>0</v>
      </c>
      <c r="BH40" t="str">
        <v>9b236e2868913c710fb0b14916adbf45</v>
      </c>
      <c r="BI40" t="str">
        <v>0.793</v>
      </c>
      <c r="BJ40">
        <v>0</v>
      </c>
      <c r="BK40">
        <v>0</v>
      </c>
      <c r="BL40">
        <v>0</v>
      </c>
      <c r="BM40">
        <v>0</v>
      </c>
      <c r="BN40" t="str">
        <v>en</v>
      </c>
      <c r="BO40" t="str">
        <v>2.0</v>
      </c>
      <c r="BP40">
        <v>0</v>
      </c>
      <c r="BQ40" t="str">
        <v>https://online.pmb.widyatama.ac.id/register/kk</v>
      </c>
      <c r="BR40">
        <v>46249.708287037036</v>
      </c>
      <c r="BZ40" t="str">
        <v>https://online.pmb.widyatama.ac.id/register/kk</v>
      </c>
      <c r="CA40" t="str">
        <v>Indexable</v>
      </c>
      <c r="CB40">
        <v>0</v>
      </c>
      <c r="CC40" t="str">
        <v>Other</v>
      </c>
      <c r="CD40" t="str">
        <v>Online Registration System</v>
      </c>
      <c r="CE40" t="str">
        <v>Yes</v>
      </c>
      <c r="CI40" t="str">
        <v>https://pmb.widyatama.ac.id/2025/09/13/</v>
      </c>
      <c r="CK40" t="str">
        <v>2025</v>
      </c>
      <c r="CV40" t="str">
        <v>Registration System</v>
      </c>
      <c r="DG40" t="str">
        <v>Registration System</v>
      </c>
      <c r="DV40" t="str">
        <v>Registration System</v>
      </c>
      <c r="DW40" t="str">
        <v>Yes</v>
      </c>
      <c r="EA40" t="str">
        <v>P1 - Critical</v>
      </c>
    </row>
    <row r="41" spans="1:131">
      <c r="A41" t="str">
        <v>https://online.pmb.widyatama.ac.id/register/s3</v>
      </c>
      <c r="B41" t="str">
        <v>text/html; charset=utf-8</v>
      </c>
      <c r="C41">
        <v>200</v>
      </c>
      <c r="D41">
        <v>0</v>
      </c>
      <c r="E41" t="str">
        <v>Indexable</v>
      </c>
      <c r="F41">
        <v>0</v>
      </c>
      <c r="G41" t="str">
        <v>PMB | Universitas Widyatama</v>
      </c>
      <c r="H41">
        <v>27</v>
      </c>
      <c r="I41">
        <v>262</v>
      </c>
      <c r="J41">
        <v>0</v>
      </c>
      <c r="K41">
        <v>0</v>
      </c>
      <c r="L41">
        <v>0</v>
      </c>
      <c r="M41">
        <v>0</v>
      </c>
      <c r="N41">
        <v>0</v>
      </c>
      <c r="O41" t="str">
        <v>Form Register PMB Doktor</v>
      </c>
      <c r="P41">
        <v>24</v>
      </c>
      <c r="Q41">
        <v>0</v>
      </c>
      <c r="R41">
        <v>0</v>
      </c>
      <c r="S41">
        <v>0</v>
      </c>
      <c r="T41">
        <v>0</v>
      </c>
      <c r="U41">
        <v>0</v>
      </c>
      <c r="V41">
        <v>0</v>
      </c>
      <c r="W41">
        <v>0</v>
      </c>
      <c r="X41">
        <v>0</v>
      </c>
      <c r="Y41">
        <v>0</v>
      </c>
      <c r="Z41">
        <v>0</v>
      </c>
      <c r="AA41">
        <v>0</v>
      </c>
      <c r="AB41">
        <v>0</v>
      </c>
      <c r="AC41">
        <v>0</v>
      </c>
      <c r="AD41">
        <v>0</v>
      </c>
      <c r="AE41">
        <v>0</v>
      </c>
      <c r="AF41">
        <v>252198</v>
      </c>
      <c r="AG41">
        <v>22094</v>
      </c>
      <c r="AH41">
        <v>1029617</v>
      </c>
      <c r="AI41">
        <v>365004</v>
      </c>
      <c r="AJ41" t="str">
        <v>C</v>
      </c>
      <c r="AK41">
        <v>2211</v>
      </c>
      <c r="AL41">
        <v>561</v>
      </c>
      <c r="AM41">
        <v>3941</v>
      </c>
      <c r="AN41">
        <v>100000</v>
      </c>
      <c r="AO41" t="str">
        <v>Very Easy</v>
      </c>
      <c r="AP41">
        <v>6582</v>
      </c>
      <c r="AQ41">
        <v>2</v>
      </c>
      <c r="AR41">
        <v>1</v>
      </c>
      <c r="AS41">
        <v>0</v>
      </c>
      <c r="AT41">
        <v>2</v>
      </c>
      <c r="AU41">
        <v>2</v>
      </c>
      <c r="AV41">
        <v>0</v>
      </c>
      <c r="AW41">
        <v>2300</v>
      </c>
      <c r="AX41">
        <v>7</v>
      </c>
      <c r="AY41">
        <v>6</v>
      </c>
      <c r="AZ41">
        <v>0</v>
      </c>
      <c r="BA41">
        <v>2</v>
      </c>
      <c r="BB41">
        <v>2</v>
      </c>
      <c r="BC41">
        <v>0</v>
      </c>
      <c r="BD41">
        <v>0</v>
      </c>
      <c r="BE41">
        <v>0</v>
      </c>
      <c r="BF41">
        <v>0</v>
      </c>
      <c r="BG41">
        <v>0</v>
      </c>
      <c r="BH41" t="str">
        <v>48c36cfe6956a8bdb30e341c7f028870</v>
      </c>
      <c r="BI41">
        <v>2093</v>
      </c>
      <c r="BJ41">
        <v>0</v>
      </c>
      <c r="BK41">
        <v>0</v>
      </c>
      <c r="BL41">
        <v>0</v>
      </c>
      <c r="BM41">
        <v>0</v>
      </c>
      <c r="BN41" t="str">
        <v>en</v>
      </c>
      <c r="BO41" t="str">
        <v>2.0</v>
      </c>
      <c r="BP41">
        <v>0</v>
      </c>
      <c r="BQ41" t="str">
        <v>https://online.pmb.widyatama.ac.id/register/s3</v>
      </c>
      <c r="BR41">
        <v>46249.708287037036</v>
      </c>
      <c r="BZ41" t="str">
        <v>https://online.pmb.widyatama.ac.id/register/s3</v>
      </c>
      <c r="CA41" t="str">
        <v>Indexable</v>
      </c>
      <c r="CB41">
        <v>0</v>
      </c>
      <c r="CC41" t="str">
        <v>Other</v>
      </c>
      <c r="CD41" t="str">
        <v>Online Registration System</v>
      </c>
      <c r="CE41" t="str">
        <v>Yes</v>
      </c>
      <c r="CV41" t="str">
        <v>Registration System</v>
      </c>
      <c r="DG41" t="str">
        <v>Registration System</v>
      </c>
      <c r="DV41" t="str">
        <v>Registration System</v>
      </c>
      <c r="DW41" t="str">
        <v>Yes</v>
      </c>
      <c r="EA41" t="str">
        <v>P1 - Critical</v>
      </c>
    </row>
    <row r="42" spans="1:131">
      <c r="A42" t="str">
        <v>https://pmb.widyatama.ac.id/aktivitas-civitas/3/</v>
      </c>
      <c r="B42" t="str">
        <v>text/html; charset=UTF-8</v>
      </c>
      <c r="C42">
        <v>200</v>
      </c>
      <c r="D42">
        <v>0</v>
      </c>
      <c r="E42" t="str">
        <v>Non-Indexable</v>
      </c>
      <c r="F42" t="str">
        <v>Canonicalised</v>
      </c>
      <c r="G42" t="str">
        <v>Aktivitas Civitas - PMB UTama</v>
      </c>
      <c r="H42">
        <v>29</v>
      </c>
      <c r="I42">
        <v>270</v>
      </c>
      <c r="J42">
        <v>0</v>
      </c>
      <c r="K42">
        <v>0</v>
      </c>
      <c r="L42">
        <v>0</v>
      </c>
      <c r="M42">
        <v>0</v>
      </c>
      <c r="N42">
        <v>0</v>
      </c>
      <c r="O42" t="str">
        <v>The Rapid Advancement of Digital Technology</v>
      </c>
      <c r="P42">
        <v>43</v>
      </c>
      <c r="Q42">
        <v>0</v>
      </c>
      <c r="R42">
        <v>0</v>
      </c>
      <c r="S42" t="str">
        <v>Berbagai Aktivitas Sivitas di Universitas Widyatama</v>
      </c>
      <c r="T42">
        <v>51</v>
      </c>
      <c r="U42" t="str">
        <v>Fasilitas</v>
      </c>
      <c r="V42">
        <v>9</v>
      </c>
      <c r="W42" t="str">
        <v>index, follow, max-image-preview:large, max-snippet:-1, max-video-preview:-1</v>
      </c>
      <c r="X42">
        <v>0</v>
      </c>
      <c r="Y42">
        <v>0</v>
      </c>
      <c r="Z42" t="str">
        <v>https://pmb.widyatama.ac.id/aktivitas-civitas/</v>
      </c>
      <c r="AA42">
        <v>0</v>
      </c>
      <c r="AB42">
        <v>0</v>
      </c>
      <c r="AC42">
        <v>0</v>
      </c>
      <c r="AD42">
        <v>0</v>
      </c>
      <c r="AE42">
        <v>0</v>
      </c>
      <c r="AF42">
        <v>140204</v>
      </c>
      <c r="AG42">
        <v>32403</v>
      </c>
      <c r="AH42">
        <v>2411451</v>
      </c>
      <c r="AI42">
        <v>854871</v>
      </c>
      <c r="AJ42" t="str">
        <v>F</v>
      </c>
      <c r="AK42">
        <v>89</v>
      </c>
      <c r="AL42">
        <v>29</v>
      </c>
      <c r="AM42">
        <v>3069</v>
      </c>
      <c r="AN42" t="str">
        <v>0.000</v>
      </c>
      <c r="AO42" t="str">
        <v>Very Hard</v>
      </c>
      <c r="AP42">
        <v>1222</v>
      </c>
      <c r="AQ42">
        <v>2</v>
      </c>
      <c r="AR42">
        <v>2</v>
      </c>
      <c r="AS42">
        <v>0</v>
      </c>
      <c r="AT42">
        <v>7</v>
      </c>
      <c r="AU42">
        <v>3</v>
      </c>
      <c r="AV42">
        <v>1</v>
      </c>
      <c r="AW42">
        <v>3450</v>
      </c>
      <c r="AX42">
        <v>116</v>
      </c>
      <c r="AY42">
        <v>32</v>
      </c>
      <c r="AZ42">
        <v>0</v>
      </c>
      <c r="BA42">
        <v>8</v>
      </c>
      <c r="BB42">
        <v>7</v>
      </c>
      <c r="BC42">
        <v>2</v>
      </c>
      <c r="BD42">
        <v>0</v>
      </c>
      <c r="BE42">
        <v>0</v>
      </c>
      <c r="BF42">
        <v>0</v>
      </c>
      <c r="BG42">
        <v>0</v>
      </c>
      <c r="BH42" t="str">
        <v>6dbfb716d9f2bfbb7bea23dcc3eb9870</v>
      </c>
      <c r="BI42">
        <v>3490</v>
      </c>
      <c r="BJ42" t="str">
        <v>Saturday, 15-Aug-2026 09:59:56 GMT</v>
      </c>
      <c r="BK42">
        <v>0</v>
      </c>
      <c r="BL42">
        <v>0</v>
      </c>
      <c r="BM42">
        <v>0</v>
      </c>
      <c r="BN42" t="str">
        <v>en-US</v>
      </c>
      <c r="BO42" t="str">
        <v>None</v>
      </c>
      <c r="BP42">
        <v>0</v>
      </c>
      <c r="BQ42" t="str">
        <v>https://pmb.widyatama.ac.id/aktivitas-civitas/3/</v>
      </c>
      <c r="BR42">
        <v>46249.708252314813</v>
      </c>
      <c r="BZ42" t="str">
        <v>https://pmb.widyatama.ac.id/aktivitas-civitas/3/</v>
      </c>
      <c r="CA42" t="str">
        <v>Non-Indexable</v>
      </c>
      <c r="CB42" t="str">
        <v>Canonicalised</v>
      </c>
      <c r="CC42" t="str">
        <v>Other</v>
      </c>
      <c r="CD42" t="str">
        <v>Main PMB Website</v>
      </c>
      <c r="CE42" t="str">
        <v>Yes</v>
      </c>
      <c r="CV42" t="str">
        <v>Campus Life</v>
      </c>
      <c r="DG42" t="str">
        <v>Campus Life</v>
      </c>
      <c r="DV42" t="str">
        <v>Core PMB Website</v>
      </c>
      <c r="DW42" t="str">
        <v>Yes</v>
      </c>
      <c r="EA42" t="str">
        <v>P2 - High</v>
      </c>
    </row>
    <row r="43" spans="1:131">
      <c r="A43" t="str">
        <v>https://pmb.widyatama.ac.id/aktivitas-civitas/2/</v>
      </c>
      <c r="B43" t="str">
        <v>text/html; charset=UTF-8</v>
      </c>
      <c r="C43">
        <v>200</v>
      </c>
      <c r="D43">
        <v>0</v>
      </c>
      <c r="E43" t="str">
        <v>Non-Indexable</v>
      </c>
      <c r="F43" t="str">
        <v>Canonicalised</v>
      </c>
      <c r="G43" t="str">
        <v>Aktivitas Civitas - PMB UTama</v>
      </c>
      <c r="H43">
        <v>29</v>
      </c>
      <c r="I43">
        <v>270</v>
      </c>
      <c r="J43">
        <v>0</v>
      </c>
      <c r="K43">
        <v>0</v>
      </c>
      <c r="L43">
        <v>0</v>
      </c>
      <c r="M43">
        <v>0</v>
      </c>
      <c r="N43">
        <v>0</v>
      </c>
      <c r="O43" t="str">
        <v>Democracy in Indonesia: Why It Feels Weak at the Grassroots</v>
      </c>
      <c r="P43">
        <v>59</v>
      </c>
      <c r="Q43" t="str">
        <v>The Hidden Dangers of Sugar</v>
      </c>
      <c r="R43">
        <v>27</v>
      </c>
      <c r="S43" t="str">
        <v>Berbagai Aktivitas Sivitas di Universitas Widyatama</v>
      </c>
      <c r="T43">
        <v>51</v>
      </c>
      <c r="U43" t="str">
        <v>Fasilitas</v>
      </c>
      <c r="V43">
        <v>9</v>
      </c>
      <c r="W43" t="str">
        <v>index, follow, max-image-preview:large, max-snippet:-1, max-video-preview:-1</v>
      </c>
      <c r="X43">
        <v>0</v>
      </c>
      <c r="Y43">
        <v>0</v>
      </c>
      <c r="Z43" t="str">
        <v>https://pmb.widyatama.ac.id/aktivitas-civitas/</v>
      </c>
      <c r="AA43">
        <v>0</v>
      </c>
      <c r="AB43">
        <v>0</v>
      </c>
      <c r="AC43">
        <v>0</v>
      </c>
      <c r="AD43">
        <v>0</v>
      </c>
      <c r="AE43">
        <v>0</v>
      </c>
      <c r="AF43">
        <v>152467</v>
      </c>
      <c r="AG43">
        <v>32759</v>
      </c>
      <c r="AH43">
        <v>2964910</v>
      </c>
      <c r="AI43">
        <v>1051075</v>
      </c>
      <c r="AJ43" t="str">
        <v>F</v>
      </c>
      <c r="AK43">
        <v>161</v>
      </c>
      <c r="AL43">
        <v>45</v>
      </c>
      <c r="AM43">
        <v>3578</v>
      </c>
      <c r="AN43">
        <v>32427</v>
      </c>
      <c r="AO43" t="str">
        <v>Hard</v>
      </c>
      <c r="AP43">
        <v>1346</v>
      </c>
      <c r="AQ43">
        <v>2</v>
      </c>
      <c r="AR43">
        <v>2</v>
      </c>
      <c r="AS43">
        <v>0</v>
      </c>
      <c r="AT43">
        <v>7</v>
      </c>
      <c r="AU43">
        <v>3</v>
      </c>
      <c r="AV43">
        <v>1</v>
      </c>
      <c r="AW43">
        <v>3450</v>
      </c>
      <c r="AX43">
        <v>122</v>
      </c>
      <c r="AY43">
        <v>36</v>
      </c>
      <c r="AZ43">
        <v>0</v>
      </c>
      <c r="BA43">
        <v>8</v>
      </c>
      <c r="BB43">
        <v>7</v>
      </c>
      <c r="BC43">
        <v>2</v>
      </c>
      <c r="BD43">
        <v>0</v>
      </c>
      <c r="BE43">
        <v>0</v>
      </c>
      <c r="BF43">
        <v>0</v>
      </c>
      <c r="BG43">
        <v>0</v>
      </c>
      <c r="BH43" t="str">
        <v>36cbf18c6f4d38ef216bbfb1c8e44663</v>
      </c>
      <c r="BI43">
        <v>3500</v>
      </c>
      <c r="BJ43" t="str">
        <v>Saturday, 15-Aug-2026 09:59:56 GMT</v>
      </c>
      <c r="BK43">
        <v>0</v>
      </c>
      <c r="BL43">
        <v>0</v>
      </c>
      <c r="BM43">
        <v>0</v>
      </c>
      <c r="BN43" t="str">
        <v>en-US</v>
      </c>
      <c r="BO43" t="str">
        <v>None</v>
      </c>
      <c r="BP43">
        <v>0</v>
      </c>
      <c r="BQ43" t="str">
        <v>https://pmb.widyatama.ac.id/aktivitas-civitas/2/</v>
      </c>
      <c r="BR43">
        <v>46249.708240740743</v>
      </c>
      <c r="BZ43" t="str">
        <v>https://pmb.widyatama.ac.id/aktivitas-civitas/2/</v>
      </c>
      <c r="CA43" t="str">
        <v>Non-Indexable</v>
      </c>
      <c r="CB43" t="str">
        <v>Canonicalised</v>
      </c>
      <c r="CC43" t="str">
        <v>Other</v>
      </c>
      <c r="CD43" t="str">
        <v>Main PMB Website</v>
      </c>
      <c r="CE43" t="str">
        <v>Yes</v>
      </c>
      <c r="CV43" t="str">
        <v>Campus Life</v>
      </c>
      <c r="DG43" t="str">
        <v>Campus Life</v>
      </c>
      <c r="DV43" t="str">
        <v>Core PMB Website</v>
      </c>
      <c r="DW43" t="str">
        <v>Yes</v>
      </c>
      <c r="EA43" t="str">
        <v>P2 - High</v>
      </c>
    </row>
    <row r="44" spans="1:131">
      <c r="A44" t="str">
        <v>https://online.pmb.widyatama.ac.id/auth/login</v>
      </c>
      <c r="B44" t="str">
        <v>text/html; charset=utf-8</v>
      </c>
      <c r="C44">
        <v>200</v>
      </c>
      <c r="D44">
        <v>0</v>
      </c>
      <c r="E44" t="str">
        <v>Indexable</v>
      </c>
      <c r="F44">
        <v>0</v>
      </c>
      <c r="G44" t="str">
        <v>PMB | Universitas Widyatama</v>
      </c>
      <c r="H44">
        <v>27</v>
      </c>
      <c r="I44">
        <v>262</v>
      </c>
      <c r="J44">
        <v>0</v>
      </c>
      <c r="K44">
        <v>0</v>
      </c>
      <c r="L44">
        <v>0</v>
      </c>
      <c r="M44">
        <v>0</v>
      </c>
      <c r="N44">
        <v>0</v>
      </c>
      <c r="O44" t="str">
        <v>Pengisian Formulir PMB</v>
      </c>
      <c r="P44">
        <v>22</v>
      </c>
      <c r="Q44" t="str">
        <v>Silahkan login</v>
      </c>
      <c r="R44">
        <v>14</v>
      </c>
      <c r="S44">
        <v>0</v>
      </c>
      <c r="T44">
        <v>0</v>
      </c>
      <c r="U44">
        <v>0</v>
      </c>
      <c r="V44">
        <v>0</v>
      </c>
      <c r="W44">
        <v>0</v>
      </c>
      <c r="X44">
        <v>0</v>
      </c>
      <c r="Y44">
        <v>0</v>
      </c>
      <c r="Z44">
        <v>0</v>
      </c>
      <c r="AA44">
        <v>0</v>
      </c>
      <c r="AB44">
        <v>0</v>
      </c>
      <c r="AC44">
        <v>0</v>
      </c>
      <c r="AD44">
        <v>0</v>
      </c>
      <c r="AE44">
        <v>0</v>
      </c>
      <c r="AF44">
        <v>17734</v>
      </c>
      <c r="AG44">
        <v>5595</v>
      </c>
      <c r="AH44">
        <v>955599</v>
      </c>
      <c r="AI44">
        <v>338765</v>
      </c>
      <c r="AJ44" t="str">
        <v>B</v>
      </c>
      <c r="AK44">
        <v>30</v>
      </c>
      <c r="AL44">
        <v>13</v>
      </c>
      <c r="AM44">
        <v>2308</v>
      </c>
      <c r="AN44">
        <v>63493</v>
      </c>
      <c r="AO44" t="str">
        <v>Normal</v>
      </c>
      <c r="AP44">
        <v>2452</v>
      </c>
      <c r="AQ44">
        <v>2</v>
      </c>
      <c r="AR44">
        <v>1</v>
      </c>
      <c r="AS44">
        <v>0</v>
      </c>
      <c r="AT44">
        <v>11</v>
      </c>
      <c r="AU44">
        <v>10</v>
      </c>
      <c r="AV44">
        <v>0</v>
      </c>
      <c r="AW44">
        <v>11490</v>
      </c>
      <c r="AX44">
        <v>8</v>
      </c>
      <c r="AY44">
        <v>6</v>
      </c>
      <c r="AZ44">
        <v>0</v>
      </c>
      <c r="BA44">
        <v>2</v>
      </c>
      <c r="BB44">
        <v>2</v>
      </c>
      <c r="BC44">
        <v>0</v>
      </c>
      <c r="BD44">
        <v>0</v>
      </c>
      <c r="BE44">
        <v>0</v>
      </c>
      <c r="BF44">
        <v>0</v>
      </c>
      <c r="BG44">
        <v>0</v>
      </c>
      <c r="BH44" t="str">
        <v>ed4d0258aae1b4b49d8eaf73f890be46</v>
      </c>
      <c r="BI44" t="str">
        <v>0.124</v>
      </c>
      <c r="BJ44">
        <v>0</v>
      </c>
      <c r="BK44">
        <v>0</v>
      </c>
      <c r="BL44">
        <v>0</v>
      </c>
      <c r="BM44">
        <v>0</v>
      </c>
      <c r="BN44" t="str">
        <v>en</v>
      </c>
      <c r="BO44" t="str">
        <v>None</v>
      </c>
      <c r="BP44">
        <v>0</v>
      </c>
      <c r="BQ44" t="str">
        <v>https://online.pmb.widyatama.ac.id/auth/login</v>
      </c>
      <c r="BR44">
        <v>46249.708449074074</v>
      </c>
      <c r="BZ44" t="str">
        <v>https://online.pmb.widyatama.ac.id/auth/login</v>
      </c>
      <c r="CA44" t="str">
        <v>Indexable</v>
      </c>
      <c r="CB44">
        <v>0</v>
      </c>
      <c r="CC44" t="str">
        <v>Other</v>
      </c>
      <c r="CD44" t="str">
        <v>Online Registration System</v>
      </c>
      <c r="CE44" t="str">
        <v>Yes</v>
      </c>
      <c r="CV44" t="str">
        <v>Registration System</v>
      </c>
      <c r="DG44" t="str">
        <v>Registration System</v>
      </c>
      <c r="DV44" t="str">
        <v>Registration System</v>
      </c>
      <c r="DW44" t="str">
        <v>Yes</v>
      </c>
      <c r="EA44" t="str">
        <v>P1 - Critical</v>
      </c>
    </row>
    <row r="45" spans="1:131">
      <c r="A45" t="str">
        <v>https://pmb.widyatama.ac.id/democracy-in-indonesia-why-it-feels-weak-at-the-grassroots/</v>
      </c>
      <c r="B45" t="str">
        <v>text/html; charset=UTF-8</v>
      </c>
      <c r="C45">
        <v>200</v>
      </c>
      <c r="D45">
        <v>0</v>
      </c>
      <c r="E45" t="str">
        <v>Indexable</v>
      </c>
      <c r="F45">
        <v>0</v>
      </c>
      <c r="G45" t="str">
        <v>Democracy in Indonesia: Why It Feels Weak at the Grassroots - PMB UTama</v>
      </c>
      <c r="H45">
        <v>71</v>
      </c>
      <c r="I45">
        <v>670</v>
      </c>
      <c r="J45">
        <v>0</v>
      </c>
      <c r="K45">
        <v>0</v>
      </c>
      <c r="L45">
        <v>0</v>
      </c>
      <c r="M45">
        <v>0</v>
      </c>
      <c r="N45">
        <v>0</v>
      </c>
      <c r="O45">
        <v>0</v>
      </c>
      <c r="P45">
        <v>0</v>
      </c>
      <c r="Q45">
        <v>0</v>
      </c>
      <c r="R45">
        <v>0</v>
      </c>
      <c r="S45" t="str">
        <v>Jenjang Pendidikan</v>
      </c>
      <c r="T45">
        <v>18</v>
      </c>
      <c r="U45" t="str">
        <v>Blog Details</v>
      </c>
      <c r="V45">
        <v>12</v>
      </c>
      <c r="W45" t="str">
        <v>index, follow, max-image-preview:large, max-snippet:-1, max-video-preview:-1</v>
      </c>
      <c r="X45">
        <v>0</v>
      </c>
      <c r="Y45">
        <v>0</v>
      </c>
      <c r="Z45" t="str">
        <v>https://pmb.widyatama.ac.id/democracy-in-indonesia-why-it-feels-weak-at-the-grassroots/</v>
      </c>
      <c r="AA45">
        <v>0</v>
      </c>
      <c r="AB45">
        <v>0</v>
      </c>
      <c r="AC45">
        <v>0</v>
      </c>
      <c r="AD45">
        <v>0</v>
      </c>
      <c r="AE45">
        <v>0</v>
      </c>
      <c r="AF45">
        <v>144609</v>
      </c>
      <c r="AG45">
        <v>33755</v>
      </c>
      <c r="AH45">
        <v>6076955</v>
      </c>
      <c r="AI45">
        <v>2154311</v>
      </c>
      <c r="AJ45" t="str">
        <v>F</v>
      </c>
      <c r="AK45">
        <v>414</v>
      </c>
      <c r="AL45">
        <v>71</v>
      </c>
      <c r="AM45">
        <v>5831</v>
      </c>
      <c r="AN45">
        <v>27221</v>
      </c>
      <c r="AO45" t="str">
        <v>Very Hard</v>
      </c>
      <c r="AP45">
        <v>2201</v>
      </c>
      <c r="AQ45">
        <v>2</v>
      </c>
      <c r="AR45">
        <v>1</v>
      </c>
      <c r="AS45">
        <v>0</v>
      </c>
      <c r="AT45">
        <v>15</v>
      </c>
      <c r="AU45">
        <v>5</v>
      </c>
      <c r="AV45">
        <v>1</v>
      </c>
      <c r="AW45">
        <v>5750</v>
      </c>
      <c r="AX45">
        <v>111</v>
      </c>
      <c r="AY45">
        <v>31</v>
      </c>
      <c r="AZ45">
        <v>0</v>
      </c>
      <c r="BA45">
        <v>8</v>
      </c>
      <c r="BB45">
        <v>7</v>
      </c>
      <c r="BC45">
        <v>2</v>
      </c>
      <c r="BD45">
        <v>0</v>
      </c>
      <c r="BE45">
        <v>0</v>
      </c>
      <c r="BF45">
        <v>0</v>
      </c>
      <c r="BG45">
        <v>0</v>
      </c>
      <c r="BH45" t="str">
        <v>fb15a308345710681d75211d4bf4f97e</v>
      </c>
      <c r="BI45" t="str">
        <v>0.211</v>
      </c>
      <c r="BJ45" t="str">
        <v>Saturday, 15-Aug-2026 10:00:11 GMT</v>
      </c>
      <c r="BK45">
        <v>0</v>
      </c>
      <c r="BL45">
        <v>0</v>
      </c>
      <c r="BM45">
        <v>0</v>
      </c>
      <c r="BN45" t="str">
        <v>en-US</v>
      </c>
      <c r="BO45" t="str">
        <v>2.0</v>
      </c>
      <c r="BP45">
        <v>0</v>
      </c>
      <c r="BQ45" t="str">
        <v>https://pmb.widyatama.ac.id/democracy-in-indonesia-why-it-feels-weak-at-the-grassroots/</v>
      </c>
      <c r="BR45">
        <v>46249.708449074074</v>
      </c>
      <c r="BZ45" t="str">
        <v>https://pmb.widyatama.ac.id/democracy-in-indonesia-why-it-feels-weak-at-the-grassroots/</v>
      </c>
      <c r="CA45" t="str">
        <v>Indexable</v>
      </c>
      <c r="CB45">
        <v>0</v>
      </c>
      <c r="CC45" t="str">
        <v>Other</v>
      </c>
      <c r="CD45" t="str">
        <v>Main PMB Website</v>
      </c>
      <c r="CE45" t="str">
        <v>Yes</v>
      </c>
      <c r="CV45" t="str">
        <v>Content Review</v>
      </c>
      <c r="DG45" t="str">
        <v>Content Review</v>
      </c>
      <c r="DV45" t="str">
        <v>Content Audit</v>
      </c>
      <c r="DW45" t="str">
        <v>Yes</v>
      </c>
      <c r="EA45" t="str">
        <v>P4 - Content Audit</v>
      </c>
    </row>
    <row r="46" spans="1:131">
      <c r="A46" t="str">
        <v>https://pmb.widyatama.ac.id/2025/09/19/</v>
      </c>
      <c r="B46" t="str">
        <v>text/html; charset=UTF-8</v>
      </c>
      <c r="C46">
        <v>200</v>
      </c>
      <c r="D46">
        <v>0</v>
      </c>
      <c r="E46" t="str">
        <v>Non-Indexable</v>
      </c>
      <c r="F46" t="str">
        <v>noindex</v>
      </c>
      <c r="G46" t="str">
        <v>September 19, 2025 - PMB UTama</v>
      </c>
      <c r="H46">
        <v>30</v>
      </c>
      <c r="I46">
        <v>305</v>
      </c>
      <c r="J46">
        <v>0</v>
      </c>
      <c r="K46">
        <v>0</v>
      </c>
      <c r="L46">
        <v>0</v>
      </c>
      <c r="M46">
        <v>0</v>
      </c>
      <c r="N46">
        <v>0</v>
      </c>
      <c r="O46" t="str">
        <v>The Rapid Advancement of Digital Technology</v>
      </c>
      <c r="P46">
        <v>43</v>
      </c>
      <c r="Q46" t="str">
        <v>Democracy in Indonesia: Why It Feels Weak at the Grassroots</v>
      </c>
      <c r="R46">
        <v>59</v>
      </c>
      <c r="S46" t="str">
        <v>Search</v>
      </c>
      <c r="T46">
        <v>6</v>
      </c>
      <c r="U46" t="str">
        <v>Categories</v>
      </c>
      <c r="V46">
        <v>10</v>
      </c>
      <c r="W46" t="str">
        <v>noindex, follow</v>
      </c>
      <c r="X46">
        <v>0</v>
      </c>
      <c r="Y46">
        <v>0</v>
      </c>
      <c r="Z46">
        <v>0</v>
      </c>
      <c r="AA46">
        <v>0</v>
      </c>
      <c r="AB46">
        <v>0</v>
      </c>
      <c r="AC46">
        <v>0</v>
      </c>
      <c r="AD46">
        <v>0</v>
      </c>
      <c r="AE46">
        <v>0</v>
      </c>
      <c r="AF46">
        <v>170686</v>
      </c>
      <c r="AG46">
        <v>33830</v>
      </c>
      <c r="AH46">
        <v>3226741</v>
      </c>
      <c r="AI46">
        <v>1143896</v>
      </c>
      <c r="AJ46" t="str">
        <v>F</v>
      </c>
      <c r="AK46">
        <v>280</v>
      </c>
      <c r="AL46">
        <v>72</v>
      </c>
      <c r="AM46">
        <v>3889</v>
      </c>
      <c r="AN46">
        <v>68434</v>
      </c>
      <c r="AO46" t="str">
        <v>Normal</v>
      </c>
      <c r="AP46">
        <v>1503</v>
      </c>
      <c r="AQ46">
        <v>2</v>
      </c>
      <c r="AR46">
        <v>3</v>
      </c>
      <c r="AS46">
        <v>0</v>
      </c>
      <c r="AT46">
        <v>53</v>
      </c>
      <c r="AU46">
        <v>14</v>
      </c>
      <c r="AV46">
        <v>1</v>
      </c>
      <c r="AW46">
        <v>16090</v>
      </c>
      <c r="AX46">
        <v>140</v>
      </c>
      <c r="AY46">
        <v>36</v>
      </c>
      <c r="AZ46">
        <v>0</v>
      </c>
      <c r="BA46">
        <v>8</v>
      </c>
      <c r="BB46">
        <v>7</v>
      </c>
      <c r="BC46">
        <v>2</v>
      </c>
      <c r="BD46">
        <v>0</v>
      </c>
      <c r="BE46">
        <v>0</v>
      </c>
      <c r="BF46">
        <v>0</v>
      </c>
      <c r="BG46">
        <v>0</v>
      </c>
      <c r="BH46" t="str">
        <v>2d56936a353f7aec2e92b6a5b66da2b4</v>
      </c>
      <c r="BI46">
        <v>4364</v>
      </c>
      <c r="BJ46" t="str">
        <v>Saturday, 15-Aug-2026 10:00:19 GMT</v>
      </c>
      <c r="BK46">
        <v>0</v>
      </c>
      <c r="BL46">
        <v>0</v>
      </c>
      <c r="BM46">
        <v>0</v>
      </c>
      <c r="BN46" t="str">
        <v>en-US</v>
      </c>
      <c r="BO46" t="str">
        <v>None</v>
      </c>
      <c r="BP46">
        <v>0</v>
      </c>
      <c r="BQ46" t="str">
        <v>https://pmb.widyatama.ac.id/2025/09/19/</v>
      </c>
      <c r="BR46">
        <v>46249.708506944444</v>
      </c>
      <c r="BZ46" t="str">
        <v>https://pmb.widyatama.ac.id/2025/09/19/</v>
      </c>
      <c r="CA46" t="str">
        <v>Non-Indexable</v>
      </c>
      <c r="CB46" t="str">
        <v>noindex</v>
      </c>
      <c r="CC46" t="str">
        <v>Other</v>
      </c>
      <c r="CD46" t="str">
        <v>Main PMB Website</v>
      </c>
      <c r="CE46" t="str">
        <v>Yes</v>
      </c>
      <c r="CV46" t="str">
        <v>Content Review</v>
      </c>
      <c r="DG46" t="str">
        <v>Content Review</v>
      </c>
      <c r="DV46" t="str">
        <v>Content Audit</v>
      </c>
      <c r="DW46" t="str">
        <v>Yes</v>
      </c>
      <c r="EA46" t="str">
        <v>P4 - Content Audit</v>
      </c>
    </row>
    <row r="47" spans="1:131">
      <c r="A47" t="str">
        <v>https://pmb.widyatama.ac.id/democracy-in-indonesia-why-it-feels-weak-at-the-grassroots-4/</v>
      </c>
      <c r="B47" t="str">
        <v>text/html; charset=UTF-8</v>
      </c>
      <c r="C47">
        <v>200</v>
      </c>
      <c r="D47">
        <v>0</v>
      </c>
      <c r="E47" t="str">
        <v>Indexable</v>
      </c>
      <c r="F47">
        <v>0</v>
      </c>
      <c r="G47" t="str">
        <v>Democracy in Indonesia: Why It Feels Weak at the Grassroots - PMB UTama</v>
      </c>
      <c r="H47">
        <v>71</v>
      </c>
      <c r="I47">
        <v>670</v>
      </c>
      <c r="J47">
        <v>0</v>
      </c>
      <c r="K47">
        <v>0</v>
      </c>
      <c r="L47">
        <v>0</v>
      </c>
      <c r="M47">
        <v>0</v>
      </c>
      <c r="N47">
        <v>0</v>
      </c>
      <c r="O47">
        <v>0</v>
      </c>
      <c r="P47">
        <v>0</v>
      </c>
      <c r="Q47">
        <v>0</v>
      </c>
      <c r="R47">
        <v>0</v>
      </c>
      <c r="S47" t="str">
        <v>Jenjang Pendidikan</v>
      </c>
      <c r="T47">
        <v>18</v>
      </c>
      <c r="U47" t="str">
        <v>Blog Details</v>
      </c>
      <c r="V47">
        <v>12</v>
      </c>
      <c r="W47" t="str">
        <v>index, follow, max-image-preview:large, max-snippet:-1, max-video-preview:-1</v>
      </c>
      <c r="X47">
        <v>0</v>
      </c>
      <c r="Y47">
        <v>0</v>
      </c>
      <c r="Z47" t="str">
        <v>https://pmb.widyatama.ac.id/democracy-in-indonesia-why-it-feels-weak-at-the-grassroots-4/</v>
      </c>
      <c r="AA47">
        <v>0</v>
      </c>
      <c r="AB47">
        <v>0</v>
      </c>
      <c r="AC47">
        <v>0</v>
      </c>
      <c r="AD47">
        <v>0</v>
      </c>
      <c r="AE47">
        <v>0</v>
      </c>
      <c r="AF47">
        <v>144487</v>
      </c>
      <c r="AG47">
        <v>33871</v>
      </c>
      <c r="AH47">
        <v>6076405</v>
      </c>
      <c r="AI47">
        <v>2154116</v>
      </c>
      <c r="AJ47" t="str">
        <v>F</v>
      </c>
      <c r="AK47">
        <v>414</v>
      </c>
      <c r="AL47">
        <v>71</v>
      </c>
      <c r="AM47">
        <v>5831</v>
      </c>
      <c r="AN47">
        <v>27221</v>
      </c>
      <c r="AO47" t="str">
        <v>Very Hard</v>
      </c>
      <c r="AP47">
        <v>2203</v>
      </c>
      <c r="AQ47">
        <v>2</v>
      </c>
      <c r="AR47">
        <v>1</v>
      </c>
      <c r="AS47">
        <v>0</v>
      </c>
      <c r="AT47">
        <v>21</v>
      </c>
      <c r="AU47">
        <v>8</v>
      </c>
      <c r="AV47">
        <v>1</v>
      </c>
      <c r="AW47">
        <v>9200</v>
      </c>
      <c r="AX47">
        <v>111</v>
      </c>
      <c r="AY47">
        <v>31</v>
      </c>
      <c r="AZ47">
        <v>0</v>
      </c>
      <c r="BA47">
        <v>8</v>
      </c>
      <c r="BB47">
        <v>7</v>
      </c>
      <c r="BC47">
        <v>2</v>
      </c>
      <c r="BD47">
        <v>0</v>
      </c>
      <c r="BE47">
        <v>0</v>
      </c>
      <c r="BF47">
        <v>0</v>
      </c>
      <c r="BG47">
        <v>0</v>
      </c>
      <c r="BH47" t="str">
        <v>7d9d9da8e4a205ec375b478e0e12c50e</v>
      </c>
      <c r="BI47">
        <v>4825</v>
      </c>
      <c r="BJ47" t="str">
        <v>Saturday, 15-Aug-2026 10:00:26 GMT</v>
      </c>
      <c r="BK47">
        <v>0</v>
      </c>
      <c r="BL47">
        <v>0</v>
      </c>
      <c r="BM47">
        <v>0</v>
      </c>
      <c r="BN47" t="str">
        <v>en-US</v>
      </c>
      <c r="BO47" t="str">
        <v>2.0</v>
      </c>
      <c r="BP47">
        <v>0</v>
      </c>
      <c r="BQ47" t="str">
        <v>https://pmb.widyatama.ac.id/democracy-in-indonesia-why-it-feels-weak-at-the-grassroots-4/</v>
      </c>
      <c r="BR47">
        <v>46249.708587962959</v>
      </c>
      <c r="BZ47" t="str">
        <v>https://pmb.widyatama.ac.id/democracy-in-indonesia-why-it-feels-weak-at-the-grassroots-4/</v>
      </c>
      <c r="CA47" t="str">
        <v>Indexable</v>
      </c>
      <c r="CB47">
        <v>0</v>
      </c>
      <c r="CC47" t="str">
        <v>Other</v>
      </c>
      <c r="CD47" t="str">
        <v>Main PMB Website</v>
      </c>
      <c r="CE47" t="str">
        <v>Yes</v>
      </c>
      <c r="CV47" t="str">
        <v>Content Review</v>
      </c>
      <c r="DG47" t="str">
        <v>Content Review</v>
      </c>
      <c r="DV47" t="str">
        <v>Content Audit</v>
      </c>
      <c r="DW47" t="str">
        <v>Yes</v>
      </c>
      <c r="EA47" t="str">
        <v>P4 - Content Audit</v>
      </c>
    </row>
    <row r="48" spans="1:131">
      <c r="A48" t="str">
        <v>https://pmb.widyatama.ac.id/the-hidden-dangers-of-sugar-3/</v>
      </c>
      <c r="B48" t="str">
        <v>text/html; charset=UTF-8</v>
      </c>
      <c r="C48">
        <v>200</v>
      </c>
      <c r="D48">
        <v>0</v>
      </c>
      <c r="E48" t="str">
        <v>Indexable</v>
      </c>
      <c r="F48">
        <v>0</v>
      </c>
      <c r="G48" t="str">
        <v>The Hidden Dangers of Sugar - PMB UTama</v>
      </c>
      <c r="H48">
        <v>39</v>
      </c>
      <c r="I48">
        <v>388</v>
      </c>
      <c r="J48">
        <v>0</v>
      </c>
      <c r="K48">
        <v>0</v>
      </c>
      <c r="L48">
        <v>0</v>
      </c>
      <c r="M48">
        <v>0</v>
      </c>
      <c r="N48">
        <v>0</v>
      </c>
      <c r="O48">
        <v>0</v>
      </c>
      <c r="P48">
        <v>0</v>
      </c>
      <c r="Q48">
        <v>0</v>
      </c>
      <c r="R48">
        <v>0</v>
      </c>
      <c r="S48" t="str">
        <v>Jenjang Pendidikan</v>
      </c>
      <c r="T48">
        <v>18</v>
      </c>
      <c r="U48" t="str">
        <v>Blog Details</v>
      </c>
      <c r="V48">
        <v>12</v>
      </c>
      <c r="W48" t="str">
        <v>index, follow, max-image-preview:large, max-snippet:-1, max-video-preview:-1</v>
      </c>
      <c r="X48">
        <v>0</v>
      </c>
      <c r="Y48">
        <v>0</v>
      </c>
      <c r="Z48" t="str">
        <v>https://pmb.widyatama.ac.id/the-hidden-dangers-of-sugar-3/</v>
      </c>
      <c r="AA48">
        <v>0</v>
      </c>
      <c r="AB48">
        <v>0</v>
      </c>
      <c r="AC48">
        <v>0</v>
      </c>
      <c r="AD48">
        <v>0</v>
      </c>
      <c r="AE48">
        <v>0</v>
      </c>
      <c r="AF48">
        <v>143549</v>
      </c>
      <c r="AG48">
        <v>33152</v>
      </c>
      <c r="AH48">
        <v>6276663</v>
      </c>
      <c r="AI48">
        <v>2225108</v>
      </c>
      <c r="AJ48" t="str">
        <v>F</v>
      </c>
      <c r="AK48">
        <v>406</v>
      </c>
      <c r="AL48">
        <v>71</v>
      </c>
      <c r="AM48">
        <v>5718</v>
      </c>
      <c r="AN48">
        <v>47459</v>
      </c>
      <c r="AO48" t="str">
        <v>Hard</v>
      </c>
      <c r="AP48">
        <v>2090</v>
      </c>
      <c r="AQ48">
        <v>2</v>
      </c>
      <c r="AR48">
        <v>1</v>
      </c>
      <c r="AS48">
        <v>0</v>
      </c>
      <c r="AT48">
        <v>21</v>
      </c>
      <c r="AU48">
        <v>8</v>
      </c>
      <c r="AV48">
        <v>1</v>
      </c>
      <c r="AW48">
        <v>9200</v>
      </c>
      <c r="AX48">
        <v>111</v>
      </c>
      <c r="AY48">
        <v>31</v>
      </c>
      <c r="AZ48">
        <v>0</v>
      </c>
      <c r="BA48">
        <v>8</v>
      </c>
      <c r="BB48">
        <v>7</v>
      </c>
      <c r="BC48">
        <v>2</v>
      </c>
      <c r="BD48">
        <v>0</v>
      </c>
      <c r="BE48">
        <v>0</v>
      </c>
      <c r="BF48">
        <v>0</v>
      </c>
      <c r="BG48">
        <v>0</v>
      </c>
      <c r="BH48" t="str">
        <v>5c76467da62fd46561f334cf6cb79653</v>
      </c>
      <c r="BI48" t="str">
        <v>0.474</v>
      </c>
      <c r="BJ48" t="str">
        <v>Saturday, 15-Aug-2026 10:00:14 GMT</v>
      </c>
      <c r="BK48">
        <v>0</v>
      </c>
      <c r="BL48">
        <v>0</v>
      </c>
      <c r="BM48">
        <v>0</v>
      </c>
      <c r="BN48" t="str">
        <v>en-US</v>
      </c>
      <c r="BO48" t="str">
        <v>2.0</v>
      </c>
      <c r="BP48">
        <v>0</v>
      </c>
      <c r="BQ48" t="str">
        <v>https://pmb.widyatama.ac.id/the-hidden-dangers-of-sugar-3/</v>
      </c>
      <c r="BR48">
        <v>46249.708483796298</v>
      </c>
      <c r="BZ48" t="str">
        <v>https://pmb.widyatama.ac.id/the-hidden-dangers-of-sugar-3/</v>
      </c>
      <c r="CA48" t="str">
        <v>Indexable</v>
      </c>
      <c r="CB48">
        <v>0</v>
      </c>
      <c r="CC48" t="str">
        <v>Other</v>
      </c>
      <c r="CD48" t="str">
        <v>Main PMB Website</v>
      </c>
      <c r="CE48" t="str">
        <v>Yes</v>
      </c>
      <c r="CV48" t="str">
        <v>Content Review</v>
      </c>
      <c r="DG48" t="str">
        <v>Content Review</v>
      </c>
      <c r="DV48" t="str">
        <v>Content Audit</v>
      </c>
      <c r="DW48" t="str">
        <v>Yes</v>
      </c>
      <c r="EA48" t="str">
        <v>P4 - Content Audit</v>
      </c>
    </row>
    <row r="49" spans="1:131">
      <c r="A49" t="str">
        <v>https://pmb.widyatama.ac.id/democracy-in-indonesia-why-it-feels-weak-at-the-grassroots-2/</v>
      </c>
      <c r="B49" t="str">
        <v>text/html; charset=UTF-8</v>
      </c>
      <c r="C49">
        <v>200</v>
      </c>
      <c r="D49">
        <v>0</v>
      </c>
      <c r="E49" t="str">
        <v>Indexable</v>
      </c>
      <c r="F49">
        <v>0</v>
      </c>
      <c r="G49" t="str">
        <v>Democracy in Indonesia: Why It Feels Weak at the Grassroots - PMB UTama</v>
      </c>
      <c r="H49">
        <v>71</v>
      </c>
      <c r="I49">
        <v>670</v>
      </c>
      <c r="J49">
        <v>0</v>
      </c>
      <c r="K49">
        <v>0</v>
      </c>
      <c r="L49">
        <v>0</v>
      </c>
      <c r="M49">
        <v>0</v>
      </c>
      <c r="N49">
        <v>0</v>
      </c>
      <c r="O49">
        <v>0</v>
      </c>
      <c r="P49">
        <v>0</v>
      </c>
      <c r="Q49">
        <v>0</v>
      </c>
      <c r="R49">
        <v>0</v>
      </c>
      <c r="S49" t="str">
        <v>Jenjang Pendidikan</v>
      </c>
      <c r="T49">
        <v>18</v>
      </c>
      <c r="U49" t="str">
        <v>Blog Details</v>
      </c>
      <c r="V49">
        <v>12</v>
      </c>
      <c r="W49" t="str">
        <v>index, follow, max-image-preview:large, max-snippet:-1, max-video-preview:-1</v>
      </c>
      <c r="X49">
        <v>0</v>
      </c>
      <c r="Y49">
        <v>0</v>
      </c>
      <c r="Z49" t="str">
        <v>https://pmb.widyatama.ac.id/democracy-in-indonesia-why-it-feels-weak-at-the-grassroots-2/</v>
      </c>
      <c r="AA49">
        <v>0</v>
      </c>
      <c r="AB49">
        <v>0</v>
      </c>
      <c r="AC49">
        <v>0</v>
      </c>
      <c r="AD49">
        <v>0</v>
      </c>
      <c r="AE49">
        <v>0</v>
      </c>
      <c r="AF49">
        <v>144487</v>
      </c>
      <c r="AG49">
        <v>33911</v>
      </c>
      <c r="AH49">
        <v>6076486</v>
      </c>
      <c r="AI49">
        <v>2154145</v>
      </c>
      <c r="AJ49" t="str">
        <v>F</v>
      </c>
      <c r="AK49">
        <v>414</v>
      </c>
      <c r="AL49">
        <v>71</v>
      </c>
      <c r="AM49">
        <v>5831</v>
      </c>
      <c r="AN49">
        <v>27221</v>
      </c>
      <c r="AO49" t="str">
        <v>Very Hard</v>
      </c>
      <c r="AP49">
        <v>2203</v>
      </c>
      <c r="AQ49">
        <v>2</v>
      </c>
      <c r="AR49">
        <v>1</v>
      </c>
      <c r="AS49">
        <v>0</v>
      </c>
      <c r="AT49">
        <v>21</v>
      </c>
      <c r="AU49">
        <v>8</v>
      </c>
      <c r="AV49">
        <v>1</v>
      </c>
      <c r="AW49">
        <v>9200</v>
      </c>
      <c r="AX49">
        <v>111</v>
      </c>
      <c r="AY49">
        <v>31</v>
      </c>
      <c r="AZ49">
        <v>0</v>
      </c>
      <c r="BA49">
        <v>8</v>
      </c>
      <c r="BB49">
        <v>7</v>
      </c>
      <c r="BC49">
        <v>2</v>
      </c>
      <c r="BD49">
        <v>0</v>
      </c>
      <c r="BE49">
        <v>0</v>
      </c>
      <c r="BF49">
        <v>0</v>
      </c>
      <c r="BG49">
        <v>0</v>
      </c>
      <c r="BH49" t="str">
        <v>73adb2362ca9d40aca9c7f3807aa2265</v>
      </c>
      <c r="BI49">
        <v>2779</v>
      </c>
      <c r="BJ49" t="str">
        <v>Saturday, 15-Aug-2026 10:00:28 GMT</v>
      </c>
      <c r="BK49">
        <v>0</v>
      </c>
      <c r="BL49">
        <v>0</v>
      </c>
      <c r="BM49">
        <v>0</v>
      </c>
      <c r="BN49" t="str">
        <v>en-US</v>
      </c>
      <c r="BO49" t="str">
        <v>None</v>
      </c>
      <c r="BP49">
        <v>0</v>
      </c>
      <c r="BQ49" t="str">
        <v>https://pmb.widyatama.ac.id/democracy-in-indonesia-why-it-feels-weak-at-the-grassroots-2/</v>
      </c>
      <c r="BR49">
        <v>46249.708622685182</v>
      </c>
      <c r="BZ49" t="str">
        <v>https://pmb.widyatama.ac.id/democracy-in-indonesia-why-it-feels-weak-at-the-grassroots-2/</v>
      </c>
      <c r="CA49" t="str">
        <v>Indexable</v>
      </c>
      <c r="CB49">
        <v>0</v>
      </c>
      <c r="CC49" t="str">
        <v>Other</v>
      </c>
      <c r="CD49" t="str">
        <v>Main PMB Website</v>
      </c>
      <c r="CE49" t="str">
        <v>Yes</v>
      </c>
      <c r="CV49" t="str">
        <v>Content Review</v>
      </c>
      <c r="DG49" t="str">
        <v>Content Review</v>
      </c>
      <c r="DV49" t="str">
        <v>Content Audit</v>
      </c>
      <c r="DW49" t="str">
        <v>Yes</v>
      </c>
      <c r="EA49" t="str">
        <v>P4 - Content Audit</v>
      </c>
    </row>
    <row r="50" spans="1:131">
      <c r="A50" t="str">
        <v>https://pmb.widyatama.ac.id/the-hidden-dangers-of-sugar-2/</v>
      </c>
      <c r="B50" t="str">
        <v>text/html; charset=UTF-8</v>
      </c>
      <c r="C50">
        <v>200</v>
      </c>
      <c r="D50">
        <v>0</v>
      </c>
      <c r="E50" t="str">
        <v>Indexable</v>
      </c>
      <c r="F50">
        <v>0</v>
      </c>
      <c r="G50" t="str">
        <v>The Hidden Dangers of Sugar - PMB UTama</v>
      </c>
      <c r="H50">
        <v>39</v>
      </c>
      <c r="I50">
        <v>388</v>
      </c>
      <c r="J50">
        <v>0</v>
      </c>
      <c r="K50">
        <v>0</v>
      </c>
      <c r="L50">
        <v>0</v>
      </c>
      <c r="M50">
        <v>0</v>
      </c>
      <c r="N50">
        <v>0</v>
      </c>
      <c r="O50">
        <v>0</v>
      </c>
      <c r="P50">
        <v>0</v>
      </c>
      <c r="Q50">
        <v>0</v>
      </c>
      <c r="R50">
        <v>0</v>
      </c>
      <c r="S50" t="str">
        <v>Jenjang Pendidikan</v>
      </c>
      <c r="T50">
        <v>18</v>
      </c>
      <c r="U50" t="str">
        <v>Blog Details</v>
      </c>
      <c r="V50">
        <v>12</v>
      </c>
      <c r="W50" t="str">
        <v>index, follow, max-image-preview:large, max-snippet:-1, max-video-preview:-1</v>
      </c>
      <c r="X50">
        <v>0</v>
      </c>
      <c r="Y50">
        <v>0</v>
      </c>
      <c r="Z50" t="str">
        <v>https://pmb.widyatama.ac.id/the-hidden-dangers-of-sugar-2/</v>
      </c>
      <c r="AA50">
        <v>0</v>
      </c>
      <c r="AB50">
        <v>0</v>
      </c>
      <c r="AC50">
        <v>0</v>
      </c>
      <c r="AD50">
        <v>0</v>
      </c>
      <c r="AE50">
        <v>0</v>
      </c>
      <c r="AF50">
        <v>143549</v>
      </c>
      <c r="AG50">
        <v>33178</v>
      </c>
      <c r="AH50">
        <v>6276704</v>
      </c>
      <c r="AI50">
        <v>2225123</v>
      </c>
      <c r="AJ50" t="str">
        <v>F</v>
      </c>
      <c r="AK50">
        <v>406</v>
      </c>
      <c r="AL50">
        <v>71</v>
      </c>
      <c r="AM50">
        <v>5718</v>
      </c>
      <c r="AN50">
        <v>47459</v>
      </c>
      <c r="AO50" t="str">
        <v>Hard</v>
      </c>
      <c r="AP50">
        <v>2090</v>
      </c>
      <c r="AQ50">
        <v>2</v>
      </c>
      <c r="AR50">
        <v>1</v>
      </c>
      <c r="AS50">
        <v>0</v>
      </c>
      <c r="AT50">
        <v>21</v>
      </c>
      <c r="AU50">
        <v>8</v>
      </c>
      <c r="AV50">
        <v>1</v>
      </c>
      <c r="AW50">
        <v>9200</v>
      </c>
      <c r="AX50">
        <v>111</v>
      </c>
      <c r="AY50">
        <v>31</v>
      </c>
      <c r="AZ50">
        <v>0</v>
      </c>
      <c r="BA50">
        <v>8</v>
      </c>
      <c r="BB50">
        <v>7</v>
      </c>
      <c r="BC50">
        <v>2</v>
      </c>
      <c r="BD50">
        <v>0</v>
      </c>
      <c r="BE50">
        <v>0</v>
      </c>
      <c r="BF50">
        <v>0</v>
      </c>
      <c r="BG50">
        <v>0</v>
      </c>
      <c r="BH50" t="str">
        <v>7254cbd5f63f3643118fec7d17abb386</v>
      </c>
      <c r="BI50">
        <v>1728</v>
      </c>
      <c r="BJ50" t="str">
        <v>Saturday, 15-Aug-2026 10:00:44 GMT</v>
      </c>
      <c r="BK50">
        <v>0</v>
      </c>
      <c r="BL50">
        <v>0</v>
      </c>
      <c r="BM50">
        <v>0</v>
      </c>
      <c r="BN50" t="str">
        <v>en-US</v>
      </c>
      <c r="BO50" t="str">
        <v>2.0</v>
      </c>
      <c r="BP50">
        <v>0</v>
      </c>
      <c r="BQ50" t="str">
        <v>https://pmb.widyatama.ac.id/the-hidden-dangers-of-sugar-2/</v>
      </c>
      <c r="BR50">
        <v>46249.708831018521</v>
      </c>
      <c r="BZ50" t="str">
        <v>https://pmb.widyatama.ac.id/the-hidden-dangers-of-sugar-2/</v>
      </c>
      <c r="CA50" t="str">
        <v>Indexable</v>
      </c>
      <c r="CB50">
        <v>0</v>
      </c>
      <c r="CC50" t="str">
        <v>Other</v>
      </c>
      <c r="CD50" t="str">
        <v>Main PMB Website</v>
      </c>
      <c r="CE50" t="str">
        <v>Yes</v>
      </c>
      <c r="CV50" t="str">
        <v>Content Review</v>
      </c>
      <c r="DG50" t="str">
        <v>Content Review</v>
      </c>
      <c r="DV50" t="str">
        <v>Content Audit</v>
      </c>
      <c r="DW50" t="str">
        <v>Yes</v>
      </c>
      <c r="EA50" t="str">
        <v>P4 - Content Audit</v>
      </c>
    </row>
    <row r="51" spans="1:131">
      <c r="A51" t="str">
        <v>https://pmb.widyatama.ac.id/the-hidden-dangers-of-sugar/</v>
      </c>
      <c r="B51" t="str">
        <v>text/html; charset=UTF-8</v>
      </c>
      <c r="C51">
        <v>200</v>
      </c>
      <c r="D51">
        <v>0</v>
      </c>
      <c r="E51" t="str">
        <v>Indexable</v>
      </c>
      <c r="F51">
        <v>0</v>
      </c>
      <c r="G51" t="str">
        <v>The Hidden Dangers of Sugar - PMB UTama</v>
      </c>
      <c r="H51">
        <v>39</v>
      </c>
      <c r="I51">
        <v>388</v>
      </c>
      <c r="J51">
        <v>0</v>
      </c>
      <c r="K51">
        <v>0</v>
      </c>
      <c r="L51">
        <v>0</v>
      </c>
      <c r="M51">
        <v>0</v>
      </c>
      <c r="N51">
        <v>0</v>
      </c>
      <c r="O51">
        <v>0</v>
      </c>
      <c r="P51">
        <v>0</v>
      </c>
      <c r="Q51">
        <v>0</v>
      </c>
      <c r="R51">
        <v>0</v>
      </c>
      <c r="S51" t="str">
        <v>Jenjang Pendidikan</v>
      </c>
      <c r="T51">
        <v>18</v>
      </c>
      <c r="U51" t="str">
        <v>Blog Details</v>
      </c>
      <c r="V51">
        <v>12</v>
      </c>
      <c r="W51" t="str">
        <v>index, follow, max-image-preview:large, max-snippet:-1, max-video-preview:-1</v>
      </c>
      <c r="X51">
        <v>0</v>
      </c>
      <c r="Y51">
        <v>0</v>
      </c>
      <c r="Z51" t="str">
        <v>https://pmb.widyatama.ac.id/the-hidden-dangers-of-sugar/</v>
      </c>
      <c r="AA51">
        <v>0</v>
      </c>
      <c r="AB51">
        <v>0</v>
      </c>
      <c r="AC51">
        <v>0</v>
      </c>
      <c r="AD51">
        <v>0</v>
      </c>
      <c r="AE51">
        <v>0</v>
      </c>
      <c r="AF51">
        <v>143506</v>
      </c>
      <c r="AG51">
        <v>33713</v>
      </c>
      <c r="AH51">
        <v>6276394</v>
      </c>
      <c r="AI51">
        <v>2225013</v>
      </c>
      <c r="AJ51" t="str">
        <v>F</v>
      </c>
      <c r="AK51">
        <v>406</v>
      </c>
      <c r="AL51">
        <v>71</v>
      </c>
      <c r="AM51">
        <v>5718</v>
      </c>
      <c r="AN51">
        <v>47459</v>
      </c>
      <c r="AO51" t="str">
        <v>Hard</v>
      </c>
      <c r="AP51">
        <v>2090</v>
      </c>
      <c r="AQ51">
        <v>2</v>
      </c>
      <c r="AR51">
        <v>1</v>
      </c>
      <c r="AS51">
        <v>0</v>
      </c>
      <c r="AT51">
        <v>15</v>
      </c>
      <c r="AU51">
        <v>5</v>
      </c>
      <c r="AV51">
        <v>1</v>
      </c>
      <c r="AW51">
        <v>5750</v>
      </c>
      <c r="AX51">
        <v>111</v>
      </c>
      <c r="AY51">
        <v>31</v>
      </c>
      <c r="AZ51">
        <v>0</v>
      </c>
      <c r="BA51">
        <v>8</v>
      </c>
      <c r="BB51">
        <v>7</v>
      </c>
      <c r="BC51">
        <v>2</v>
      </c>
      <c r="BD51">
        <v>0</v>
      </c>
      <c r="BE51">
        <v>0</v>
      </c>
      <c r="BF51">
        <v>0</v>
      </c>
      <c r="BG51">
        <v>0</v>
      </c>
      <c r="BH51" t="str">
        <v>8d28d54a96869d35d40897ef1a52f946</v>
      </c>
      <c r="BI51">
        <v>1583</v>
      </c>
      <c r="BJ51" t="str">
        <v>Saturday, 15-Aug-2026 10:00:45 GMT</v>
      </c>
      <c r="BK51">
        <v>0</v>
      </c>
      <c r="BL51">
        <v>0</v>
      </c>
      <c r="BM51">
        <v>0</v>
      </c>
      <c r="BN51" t="str">
        <v>en-US</v>
      </c>
      <c r="BO51" t="str">
        <v>2.0</v>
      </c>
      <c r="BP51">
        <v>0</v>
      </c>
      <c r="BQ51" t="str">
        <v>https://pmb.widyatama.ac.id/the-hidden-dangers-of-sugar/</v>
      </c>
      <c r="BR51">
        <v>46249.70884259259</v>
      </c>
      <c r="BZ51" t="str">
        <v>https://pmb.widyatama.ac.id/the-hidden-dangers-of-sugar/</v>
      </c>
      <c r="CA51" t="str">
        <v>Indexable</v>
      </c>
      <c r="CB51">
        <v>0</v>
      </c>
      <c r="CC51" t="str">
        <v>Other</v>
      </c>
      <c r="CD51" t="str">
        <v>Main PMB Website</v>
      </c>
      <c r="CE51" t="str">
        <v>Yes</v>
      </c>
      <c r="CV51" t="str">
        <v>Content Review</v>
      </c>
      <c r="DG51" t="str">
        <v>Content Review</v>
      </c>
      <c r="DV51" t="str">
        <v>Content Audit</v>
      </c>
      <c r="DW51" t="str">
        <v>Yes</v>
      </c>
      <c r="EA51" t="str">
        <v>P4 - Content Audit</v>
      </c>
    </row>
    <row r="52" spans="1:131">
      <c r="A52" t="str">
        <v>https://pmb.widyatama.ac.id/the-rapid-advancement-of-digital-technology/</v>
      </c>
      <c r="B52" t="str">
        <v>text/html; charset=UTF-8</v>
      </c>
      <c r="C52">
        <v>200</v>
      </c>
      <c r="D52">
        <v>0</v>
      </c>
      <c r="E52" t="str">
        <v>Indexable</v>
      </c>
      <c r="F52">
        <v>0</v>
      </c>
      <c r="G52" t="str">
        <v>The Rapid Advancement of Digital Technology - PMB UTama</v>
      </c>
      <c r="H52">
        <v>55</v>
      </c>
      <c r="I52">
        <v>536</v>
      </c>
      <c r="J52">
        <v>0</v>
      </c>
      <c r="K52">
        <v>0</v>
      </c>
      <c r="L52">
        <v>0</v>
      </c>
      <c r="M52">
        <v>0</v>
      </c>
      <c r="N52">
        <v>0</v>
      </c>
      <c r="O52">
        <v>0</v>
      </c>
      <c r="P52">
        <v>0</v>
      </c>
      <c r="Q52">
        <v>0</v>
      </c>
      <c r="R52">
        <v>0</v>
      </c>
      <c r="S52" t="str">
        <v>Jenjang Pendidikan</v>
      </c>
      <c r="T52">
        <v>18</v>
      </c>
      <c r="U52" t="str">
        <v>Blog Details</v>
      </c>
      <c r="V52">
        <v>12</v>
      </c>
      <c r="W52" t="str">
        <v>index, follow, max-image-preview:large, max-snippet:-1, max-video-preview:-1</v>
      </c>
      <c r="X52">
        <v>0</v>
      </c>
      <c r="Y52">
        <v>0</v>
      </c>
      <c r="Z52" t="str">
        <v>https://pmb.widyatama.ac.id/the-rapid-advancement-of-digital-technology/</v>
      </c>
      <c r="AA52">
        <v>0</v>
      </c>
      <c r="AB52">
        <v>0</v>
      </c>
      <c r="AC52">
        <v>0</v>
      </c>
      <c r="AD52">
        <v>0</v>
      </c>
      <c r="AE52">
        <v>0</v>
      </c>
      <c r="AF52">
        <v>144218</v>
      </c>
      <c r="AG52">
        <v>34011</v>
      </c>
      <c r="AH52">
        <v>5225886</v>
      </c>
      <c r="AI52">
        <v>1852603</v>
      </c>
      <c r="AJ52" t="str">
        <v>F</v>
      </c>
      <c r="AK52">
        <v>427</v>
      </c>
      <c r="AL52">
        <v>77</v>
      </c>
      <c r="AM52">
        <v>5545</v>
      </c>
      <c r="AN52">
        <v>26261</v>
      </c>
      <c r="AO52" t="str">
        <v>Very Hard</v>
      </c>
      <c r="AP52">
        <v>2283</v>
      </c>
      <c r="AQ52">
        <v>2</v>
      </c>
      <c r="AR52">
        <v>1</v>
      </c>
      <c r="AS52">
        <v>0</v>
      </c>
      <c r="AT52">
        <v>15</v>
      </c>
      <c r="AU52">
        <v>5</v>
      </c>
      <c r="AV52">
        <v>1</v>
      </c>
      <c r="AW52">
        <v>5750</v>
      </c>
      <c r="AX52">
        <v>111</v>
      </c>
      <c r="AY52">
        <v>31</v>
      </c>
      <c r="AZ52">
        <v>0</v>
      </c>
      <c r="BA52">
        <v>8</v>
      </c>
      <c r="BB52">
        <v>7</v>
      </c>
      <c r="BC52">
        <v>2</v>
      </c>
      <c r="BD52">
        <v>0</v>
      </c>
      <c r="BE52">
        <v>0</v>
      </c>
      <c r="BF52">
        <v>0</v>
      </c>
      <c r="BG52">
        <v>0</v>
      </c>
      <c r="BH52" t="str">
        <v>edf34583d38e9588eec46e076e5cbbc7</v>
      </c>
      <c r="BI52">
        <v>2785</v>
      </c>
      <c r="BJ52" t="str">
        <v>Saturday, 15-Aug-2026 10:00:43 GMT</v>
      </c>
      <c r="BK52">
        <v>0</v>
      </c>
      <c r="BL52">
        <v>0</v>
      </c>
      <c r="BM52">
        <v>0</v>
      </c>
      <c r="BN52" t="str">
        <v>en-US</v>
      </c>
      <c r="BO52" t="str">
        <v>None</v>
      </c>
      <c r="BP52">
        <v>0</v>
      </c>
      <c r="BQ52" t="str">
        <v>https://pmb.widyatama.ac.id/the-rapid-advancement-of-digital-technology/</v>
      </c>
      <c r="BR52">
        <v>46249.708796296298</v>
      </c>
      <c r="BZ52" t="str">
        <v>https://pmb.widyatama.ac.id/the-rapid-advancement-of-digital-technology/</v>
      </c>
      <c r="CA52" t="str">
        <v>Indexable</v>
      </c>
      <c r="CB52">
        <v>0</v>
      </c>
      <c r="CC52" t="str">
        <v>Other</v>
      </c>
      <c r="CD52" t="str">
        <v>Main PMB Website</v>
      </c>
      <c r="CE52" t="str">
        <v>Yes</v>
      </c>
      <c r="CV52" t="str">
        <v>Content Review</v>
      </c>
      <c r="DG52" t="str">
        <v>Content Review</v>
      </c>
      <c r="DV52" t="str">
        <v>Content Audit</v>
      </c>
      <c r="DW52" t="str">
        <v>Yes</v>
      </c>
      <c r="EA52" t="str">
        <v>P4 - Content Audit</v>
      </c>
    </row>
    <row r="53" spans="1:131">
      <c r="A53" t="str">
        <v>https://pmb.widyatama.ac.id/the-rapid-advancement-of-digital-technology-2/</v>
      </c>
      <c r="B53" t="str">
        <v>text/html; charset=UTF-8</v>
      </c>
      <c r="C53">
        <v>200</v>
      </c>
      <c r="D53">
        <v>0</v>
      </c>
      <c r="E53" t="str">
        <v>Indexable</v>
      </c>
      <c r="F53">
        <v>0</v>
      </c>
      <c r="G53" t="str">
        <v>The Rapid Advancement of Digital Technology - PMB UTama</v>
      </c>
      <c r="H53">
        <v>55</v>
      </c>
      <c r="I53">
        <v>536</v>
      </c>
      <c r="J53">
        <v>0</v>
      </c>
      <c r="K53">
        <v>0</v>
      </c>
      <c r="L53">
        <v>0</v>
      </c>
      <c r="M53">
        <v>0</v>
      </c>
      <c r="N53">
        <v>0</v>
      </c>
      <c r="O53">
        <v>0</v>
      </c>
      <c r="P53">
        <v>0</v>
      </c>
      <c r="Q53">
        <v>0</v>
      </c>
      <c r="R53">
        <v>0</v>
      </c>
      <c r="S53" t="str">
        <v>Jenjang Pendidikan</v>
      </c>
      <c r="T53">
        <v>18</v>
      </c>
      <c r="U53" t="str">
        <v>Blog Details</v>
      </c>
      <c r="V53">
        <v>12</v>
      </c>
      <c r="W53" t="str">
        <v>index, follow, max-image-preview:large, max-snippet:-1, max-video-preview:-1</v>
      </c>
      <c r="X53">
        <v>0</v>
      </c>
      <c r="Y53">
        <v>0</v>
      </c>
      <c r="Z53" t="str">
        <v>https://pmb.widyatama.ac.id/the-rapid-advancement-of-digital-technology-2/</v>
      </c>
      <c r="AA53">
        <v>0</v>
      </c>
      <c r="AB53">
        <v>0</v>
      </c>
      <c r="AC53">
        <v>0</v>
      </c>
      <c r="AD53">
        <v>0</v>
      </c>
      <c r="AE53">
        <v>0</v>
      </c>
      <c r="AF53">
        <v>145219</v>
      </c>
      <c r="AG53">
        <v>34152</v>
      </c>
      <c r="AH53">
        <v>5225996</v>
      </c>
      <c r="AI53">
        <v>1852642</v>
      </c>
      <c r="AJ53" t="str">
        <v>F</v>
      </c>
      <c r="AK53">
        <v>427</v>
      </c>
      <c r="AL53">
        <v>77</v>
      </c>
      <c r="AM53">
        <v>5545</v>
      </c>
      <c r="AN53">
        <v>26261</v>
      </c>
      <c r="AO53" t="str">
        <v>Very Hard</v>
      </c>
      <c r="AP53">
        <v>2272</v>
      </c>
      <c r="AQ53">
        <v>2</v>
      </c>
      <c r="AR53">
        <v>1</v>
      </c>
      <c r="AS53">
        <v>0</v>
      </c>
      <c r="AT53">
        <v>21</v>
      </c>
      <c r="AU53">
        <v>8</v>
      </c>
      <c r="AV53">
        <v>1</v>
      </c>
      <c r="AW53">
        <v>9200</v>
      </c>
      <c r="AX53">
        <v>111</v>
      </c>
      <c r="AY53">
        <v>31</v>
      </c>
      <c r="AZ53">
        <v>0</v>
      </c>
      <c r="BA53">
        <v>8</v>
      </c>
      <c r="BB53">
        <v>7</v>
      </c>
      <c r="BC53">
        <v>2</v>
      </c>
      <c r="BD53">
        <v>0</v>
      </c>
      <c r="BE53">
        <v>0</v>
      </c>
      <c r="BF53">
        <v>0</v>
      </c>
      <c r="BG53">
        <v>0</v>
      </c>
      <c r="BH53" t="str">
        <v>de50338135b618cb81c819f33a8c9036</v>
      </c>
      <c r="BI53">
        <v>3640</v>
      </c>
      <c r="BJ53" t="str">
        <v>Saturday, 15-Aug-2026 10:00:45 GMT</v>
      </c>
      <c r="BK53">
        <v>0</v>
      </c>
      <c r="BL53">
        <v>0</v>
      </c>
      <c r="BM53">
        <v>0</v>
      </c>
      <c r="BN53" t="str">
        <v>en-US</v>
      </c>
      <c r="BO53" t="str">
        <v>None</v>
      </c>
      <c r="BP53">
        <v>0</v>
      </c>
      <c r="BQ53" t="str">
        <v>https://pmb.widyatama.ac.id/the-rapid-advancement-of-digital-technology-2/</v>
      </c>
      <c r="BR53">
        <v>46249.708819444444</v>
      </c>
      <c r="BZ53" t="str">
        <v>https://pmb.widyatama.ac.id/the-rapid-advancement-of-digital-technology-2/</v>
      </c>
      <c r="CA53" t="str">
        <v>Indexable</v>
      </c>
      <c r="CB53">
        <v>0</v>
      </c>
      <c r="CC53" t="str">
        <v>Other</v>
      </c>
      <c r="CD53" t="str">
        <v>Main PMB Website</v>
      </c>
      <c r="CE53" t="str">
        <v>Yes</v>
      </c>
      <c r="CV53" t="str">
        <v>Content Review</v>
      </c>
      <c r="DG53" t="str">
        <v>Content Review</v>
      </c>
      <c r="DV53" t="str">
        <v>Content Audit</v>
      </c>
      <c r="DW53" t="str">
        <v>Yes</v>
      </c>
      <c r="EA53" t="str">
        <v>P4 - Content Audit</v>
      </c>
    </row>
    <row r="54" spans="1:131">
      <c r="A54" t="str">
        <v>https://pmb.widyatama.ac.id/democracy-in-indonesia-why-it-feels-weak-at-the-grassroots-3/</v>
      </c>
      <c r="B54" t="str">
        <v>text/html; charset=UTF-8</v>
      </c>
      <c r="C54">
        <v>200</v>
      </c>
      <c r="D54">
        <v>0</v>
      </c>
      <c r="E54" t="str">
        <v>Indexable</v>
      </c>
      <c r="F54">
        <v>0</v>
      </c>
      <c r="G54" t="str">
        <v>Democracy in Indonesia: Why It Feels Weak at the Grassroots - PMB UTama</v>
      </c>
      <c r="H54">
        <v>71</v>
      </c>
      <c r="I54">
        <v>670</v>
      </c>
      <c r="J54">
        <v>0</v>
      </c>
      <c r="K54">
        <v>0</v>
      </c>
      <c r="L54">
        <v>0</v>
      </c>
      <c r="M54">
        <v>0</v>
      </c>
      <c r="N54">
        <v>0</v>
      </c>
      <c r="O54">
        <v>0</v>
      </c>
      <c r="P54">
        <v>0</v>
      </c>
      <c r="Q54">
        <v>0</v>
      </c>
      <c r="R54">
        <v>0</v>
      </c>
      <c r="S54" t="str">
        <v>Jenjang Pendidikan</v>
      </c>
      <c r="T54">
        <v>18</v>
      </c>
      <c r="U54" t="str">
        <v>Blog Details</v>
      </c>
      <c r="V54">
        <v>12</v>
      </c>
      <c r="W54" t="str">
        <v>index, follow, max-image-preview:large, max-snippet:-1, max-video-preview:-1</v>
      </c>
      <c r="X54">
        <v>0</v>
      </c>
      <c r="Y54">
        <v>0</v>
      </c>
      <c r="Z54" t="str">
        <v>https://pmb.widyatama.ac.id/democracy-in-indonesia-why-it-feels-weak-at-the-grassroots-3/</v>
      </c>
      <c r="AA54">
        <v>0</v>
      </c>
      <c r="AB54">
        <v>0</v>
      </c>
      <c r="AC54">
        <v>0</v>
      </c>
      <c r="AD54">
        <v>0</v>
      </c>
      <c r="AE54">
        <v>0</v>
      </c>
      <c r="AF54">
        <v>144487</v>
      </c>
      <c r="AG54">
        <v>33761</v>
      </c>
      <c r="AH54">
        <v>6076062</v>
      </c>
      <c r="AI54">
        <v>2153994</v>
      </c>
      <c r="AJ54" t="str">
        <v>F</v>
      </c>
      <c r="AK54">
        <v>414</v>
      </c>
      <c r="AL54">
        <v>71</v>
      </c>
      <c r="AM54">
        <v>5831</v>
      </c>
      <c r="AN54">
        <v>27221</v>
      </c>
      <c r="AO54" t="str">
        <v>Very Hard</v>
      </c>
      <c r="AP54">
        <v>2203</v>
      </c>
      <c r="AQ54">
        <v>2</v>
      </c>
      <c r="AR54">
        <v>1</v>
      </c>
      <c r="AS54">
        <v>0</v>
      </c>
      <c r="AT54">
        <v>21</v>
      </c>
      <c r="AU54">
        <v>8</v>
      </c>
      <c r="AV54">
        <v>1</v>
      </c>
      <c r="AW54">
        <v>9200</v>
      </c>
      <c r="AX54">
        <v>111</v>
      </c>
      <c r="AY54">
        <v>31</v>
      </c>
      <c r="AZ54">
        <v>0</v>
      </c>
      <c r="BA54">
        <v>8</v>
      </c>
      <c r="BB54">
        <v>7</v>
      </c>
      <c r="BC54">
        <v>2</v>
      </c>
      <c r="BD54">
        <v>0</v>
      </c>
      <c r="BE54">
        <v>0</v>
      </c>
      <c r="BF54">
        <v>0</v>
      </c>
      <c r="BG54">
        <v>0</v>
      </c>
      <c r="BH54" t="str">
        <v>acd045fd1f1d5631be2f912a27fce49</v>
      </c>
      <c r="BI54">
        <v>8395</v>
      </c>
      <c r="BJ54" t="str">
        <v>Saturday, 15-Aug-2026 10:00:48 GMT</v>
      </c>
      <c r="BK54">
        <v>0</v>
      </c>
      <c r="BL54">
        <v>0</v>
      </c>
      <c r="BM54">
        <v>0</v>
      </c>
      <c r="BN54" t="str">
        <v>en-US</v>
      </c>
      <c r="BO54" t="str">
        <v>2.0</v>
      </c>
      <c r="BP54">
        <v>0</v>
      </c>
      <c r="BQ54" t="str">
        <v>https://pmb.widyatama.ac.id/democracy-in-indonesia-why-it-feels-weak-at-the-grassroots-3/</v>
      </c>
      <c r="BR54">
        <v>46249.708854166667</v>
      </c>
      <c r="BZ54" t="str">
        <v>https://pmb.widyatama.ac.id/democracy-in-indonesia-why-it-feels-weak-at-the-grassroots-3/</v>
      </c>
      <c r="CA54" t="str">
        <v>Indexable</v>
      </c>
      <c r="CB54">
        <v>0</v>
      </c>
      <c r="CC54" t="str">
        <v>Other</v>
      </c>
      <c r="CD54" t="str">
        <v>Main PMB Website</v>
      </c>
      <c r="CE54" t="str">
        <v>Yes</v>
      </c>
      <c r="CV54" t="str">
        <v>Content Review</v>
      </c>
      <c r="DG54" t="str">
        <v>Content Review</v>
      </c>
      <c r="DV54" t="str">
        <v>Content Audit</v>
      </c>
      <c r="DW54" t="str">
        <v>Yes</v>
      </c>
      <c r="EA54" t="str">
        <v>P4 - Content Audit</v>
      </c>
    </row>
    <row r="55" spans="1:131">
      <c r="A55" t="str">
        <v>https://pmb.widyatama.ac.id/program-studi/doktor-ilmu-manajemen/</v>
      </c>
      <c r="B55" t="str">
        <v>text/html; charset=UTF-8</v>
      </c>
      <c r="C55">
        <v>200</v>
      </c>
      <c r="D55">
        <v>0</v>
      </c>
      <c r="E55" t="str">
        <v>Indexable</v>
      </c>
      <c r="F55">
        <v>0</v>
      </c>
      <c r="G55" t="str">
        <v>Doktor Ilmu Manajemen - PMB UTama</v>
      </c>
      <c r="H55">
        <v>33</v>
      </c>
      <c r="I55">
        <v>341</v>
      </c>
      <c r="J55">
        <v>0</v>
      </c>
      <c r="K55">
        <v>0</v>
      </c>
      <c r="L55">
        <v>0</v>
      </c>
      <c r="M55">
        <v>0</v>
      </c>
      <c r="N55">
        <v>0</v>
      </c>
      <c r="O55" t="str">
        <v>Doktor Ilmu Manajemen S3</v>
      </c>
      <c r="P55">
        <v>24</v>
      </c>
      <c r="Q55">
        <v>0</v>
      </c>
      <c r="R55">
        <v>0</v>
      </c>
      <c r="S55" t="str">
        <v>Fakultas Pascasarjana</v>
      </c>
      <c r="T55">
        <v>21</v>
      </c>
      <c r="U55" t="str">
        <v>Doktor Ilmu Manajemen S3</v>
      </c>
      <c r="V55">
        <v>24</v>
      </c>
      <c r="W55" t="str">
        <v>index, follow, max-image-preview:large, max-snippet:-1, max-video-preview:-1</v>
      </c>
      <c r="X55">
        <v>0</v>
      </c>
      <c r="Y55">
        <v>0</v>
      </c>
      <c r="Z55" t="str">
        <v>https://pmb.widyatama.ac.id/program-studi/doktor-ilmu-manajemen/</v>
      </c>
      <c r="AA55">
        <v>0</v>
      </c>
      <c r="AB55">
        <v>0</v>
      </c>
      <c r="AC55">
        <v>0</v>
      </c>
      <c r="AD55">
        <v>0</v>
      </c>
      <c r="AE55">
        <v>0</v>
      </c>
      <c r="AF55">
        <v>157454</v>
      </c>
      <c r="AG55">
        <v>33978</v>
      </c>
      <c r="AH55">
        <v>2902995</v>
      </c>
      <c r="AI55">
        <v>1029126</v>
      </c>
      <c r="AJ55" t="str">
        <v>F</v>
      </c>
      <c r="AK55">
        <v>450</v>
      </c>
      <c r="AL55">
        <v>95</v>
      </c>
      <c r="AM55">
        <v>4737</v>
      </c>
      <c r="AN55" t="str">
        <v>0.000</v>
      </c>
      <c r="AO55" t="str">
        <v>Very Hard</v>
      </c>
      <c r="AP55">
        <v>2318</v>
      </c>
      <c r="AQ55">
        <v>2</v>
      </c>
      <c r="AR55">
        <v>2</v>
      </c>
      <c r="AS55">
        <v>0</v>
      </c>
      <c r="AT55">
        <v>6</v>
      </c>
      <c r="AU55">
        <v>2</v>
      </c>
      <c r="AV55">
        <v>1</v>
      </c>
      <c r="AW55">
        <v>2300</v>
      </c>
      <c r="AX55">
        <v>113</v>
      </c>
      <c r="AY55">
        <v>29</v>
      </c>
      <c r="AZ55">
        <v>0</v>
      </c>
      <c r="BA55">
        <v>10</v>
      </c>
      <c r="BB55">
        <v>8</v>
      </c>
      <c r="BC55">
        <v>2</v>
      </c>
      <c r="BD55">
        <v>0</v>
      </c>
      <c r="BE55">
        <v>0</v>
      </c>
      <c r="BF55">
        <v>0</v>
      </c>
      <c r="BG55">
        <v>0</v>
      </c>
      <c r="BH55" t="str">
        <v>10af3709841bffdcf7e1041e0f49e6b5</v>
      </c>
      <c r="BI55">
        <v>2937</v>
      </c>
      <c r="BJ55" t="str">
        <v>Saturday, 15-Aug-2026 10:02:50 GMT</v>
      </c>
      <c r="BK55">
        <v>0</v>
      </c>
      <c r="BL55">
        <v>0</v>
      </c>
      <c r="BM55">
        <v>0</v>
      </c>
      <c r="BN55" t="str">
        <v>en-US</v>
      </c>
      <c r="BO55" t="str">
        <v>2.0</v>
      </c>
      <c r="BP55">
        <v>0</v>
      </c>
      <c r="BQ55" t="str">
        <v>https://pmb.widyatama.ac.id/program-studi/doktor-ilmu-manajemen/</v>
      </c>
      <c r="BR55">
        <v>46249.710266203707</v>
      </c>
      <c r="BZ55" t="str">
        <v>https://pmb.widyatama.ac.id/program-studi/doktor-ilmu-manajemen/</v>
      </c>
      <c r="CA55" t="str">
        <v>Indexable</v>
      </c>
      <c r="CB55">
        <v>0</v>
      </c>
      <c r="CC55" t="str">
        <v>Program</v>
      </c>
      <c r="CD55" t="str">
        <v>Main PMB Website</v>
      </c>
      <c r="CE55" t="str">
        <v>Yes</v>
      </c>
      <c r="CV55" t="str">
        <v>Program</v>
      </c>
      <c r="DG55" t="str">
        <v>Program</v>
      </c>
      <c r="DV55" t="str">
        <v>Core PMB Website</v>
      </c>
      <c r="DW55" t="str">
        <v>Yes</v>
      </c>
      <c r="EA55" t="str">
        <v>P1 - Critical</v>
      </c>
    </row>
    <row r="56" spans="1:131">
      <c r="A56" t="str">
        <v>https://pmb.widyatama.ac.id/program-studi/program-profesi-akuntansi/</v>
      </c>
      <c r="B56" t="str">
        <v>text/html; charset=UTF-8</v>
      </c>
      <c r="C56">
        <v>200</v>
      </c>
      <c r="D56">
        <v>0</v>
      </c>
      <c r="E56" t="str">
        <v>Indexable</v>
      </c>
      <c r="F56">
        <v>0</v>
      </c>
      <c r="G56" t="str">
        <v>Program Profesi Akuntansi - PMB UTama</v>
      </c>
      <c r="H56">
        <v>37</v>
      </c>
      <c r="I56">
        <v>367</v>
      </c>
      <c r="J56">
        <v>0</v>
      </c>
      <c r="K56">
        <v>0</v>
      </c>
      <c r="L56">
        <v>0</v>
      </c>
      <c r="M56">
        <v>0</v>
      </c>
      <c r="N56">
        <v>0</v>
      </c>
      <c r="O56" t="str">
        <v>Pendidikan Profesi Akuntansi (PPAk)</v>
      </c>
      <c r="P56">
        <v>35</v>
      </c>
      <c r="Q56">
        <v>0</v>
      </c>
      <c r="R56">
        <v>0</v>
      </c>
      <c r="S56" t="str">
        <v>Fakultas Pascasarjana</v>
      </c>
      <c r="T56">
        <v>21</v>
      </c>
      <c r="U56" t="str">
        <v>Pendidikan Profesi Akuntansi (PPAK)</v>
      </c>
      <c r="V56">
        <v>35</v>
      </c>
      <c r="W56" t="str">
        <v>index, follow, max-image-preview:large, max-snippet:-1, max-video-preview:-1</v>
      </c>
      <c r="X56">
        <v>0</v>
      </c>
      <c r="Y56">
        <v>0</v>
      </c>
      <c r="Z56" t="str">
        <v>https://pmb.widyatama.ac.id/program-studi/program-profesi-akuntansi/</v>
      </c>
      <c r="AA56">
        <v>0</v>
      </c>
      <c r="AB56">
        <v>0</v>
      </c>
      <c r="AC56">
        <v>0</v>
      </c>
      <c r="AD56">
        <v>0</v>
      </c>
      <c r="AE56">
        <v>0</v>
      </c>
      <c r="AF56">
        <v>155007</v>
      </c>
      <c r="AG56">
        <v>33507</v>
      </c>
      <c r="AH56">
        <v>3357328</v>
      </c>
      <c r="AI56">
        <v>1190190</v>
      </c>
      <c r="AJ56" t="str">
        <v>F</v>
      </c>
      <c r="AK56">
        <v>437</v>
      </c>
      <c r="AL56">
        <v>91</v>
      </c>
      <c r="AM56">
        <v>4802</v>
      </c>
      <c r="AN56" t="str">
        <v>0.000</v>
      </c>
      <c r="AO56" t="str">
        <v>Very Hard</v>
      </c>
      <c r="AP56">
        <v>2330</v>
      </c>
      <c r="AQ56">
        <v>2</v>
      </c>
      <c r="AR56">
        <v>2</v>
      </c>
      <c r="AS56">
        <v>0</v>
      </c>
      <c r="AT56">
        <v>6</v>
      </c>
      <c r="AU56">
        <v>2</v>
      </c>
      <c r="AV56">
        <v>1</v>
      </c>
      <c r="AW56">
        <v>2300</v>
      </c>
      <c r="AX56">
        <v>113</v>
      </c>
      <c r="AY56">
        <v>29</v>
      </c>
      <c r="AZ56">
        <v>0</v>
      </c>
      <c r="BA56">
        <v>10</v>
      </c>
      <c r="BB56">
        <v>8</v>
      </c>
      <c r="BC56">
        <v>2</v>
      </c>
      <c r="BD56">
        <v>0</v>
      </c>
      <c r="BE56">
        <v>0</v>
      </c>
      <c r="BF56">
        <v>0</v>
      </c>
      <c r="BG56">
        <v>0</v>
      </c>
      <c r="BH56" t="str">
        <v>333b286f3029a2bb02f2144522f0ecfa</v>
      </c>
      <c r="BI56">
        <v>11534</v>
      </c>
      <c r="BJ56" t="str">
        <v>Saturday, 15-Aug-2026 10:03:15 GMT</v>
      </c>
      <c r="BK56">
        <v>0</v>
      </c>
      <c r="BL56">
        <v>0</v>
      </c>
      <c r="BM56">
        <v>0</v>
      </c>
      <c r="BN56" t="str">
        <v>en-US</v>
      </c>
      <c r="BO56" t="str">
        <v>2.0</v>
      </c>
      <c r="BP56">
        <v>0</v>
      </c>
      <c r="BQ56" t="str">
        <v>https://pmb.widyatama.ac.id/program-studi/program-profesi-akuntansi/</v>
      </c>
      <c r="BR56">
        <v>46249.710578703707</v>
      </c>
      <c r="BZ56" t="str">
        <v>https://pmb.widyatama.ac.id/program-studi/program-profesi-akuntansi/</v>
      </c>
      <c r="CA56" t="str">
        <v>Indexable</v>
      </c>
      <c r="CB56">
        <v>0</v>
      </c>
      <c r="CC56" t="str">
        <v>Program</v>
      </c>
      <c r="CD56" t="str">
        <v>Main PMB Website</v>
      </c>
      <c r="CE56" t="str">
        <v>Yes</v>
      </c>
      <c r="CV56" t="str">
        <v>Program</v>
      </c>
      <c r="DG56" t="str">
        <v>Program</v>
      </c>
      <c r="DV56" t="str">
        <v>Core PMB Website</v>
      </c>
      <c r="DW56" t="str">
        <v>Yes</v>
      </c>
      <c r="EA56" t="str">
        <v>P1 - Critical</v>
      </c>
    </row>
    <row r="57" spans="1:131">
      <c r="A57" t="str">
        <v>https://pmb.widyatama.ac.id/program-studi/magister-akuntansi/</v>
      </c>
      <c r="B57" t="str">
        <v>text/html; charset=UTF-8</v>
      </c>
      <c r="C57">
        <v>200</v>
      </c>
      <c r="D57">
        <v>0</v>
      </c>
      <c r="E57" t="str">
        <v>Indexable</v>
      </c>
      <c r="F57">
        <v>0</v>
      </c>
      <c r="G57" t="str">
        <v>Magister Akuntansi - PMB UTama</v>
      </c>
      <c r="H57">
        <v>30</v>
      </c>
      <c r="I57">
        <v>301</v>
      </c>
      <c r="J57">
        <v>0</v>
      </c>
      <c r="K57">
        <v>0</v>
      </c>
      <c r="L57">
        <v>0</v>
      </c>
      <c r="M57">
        <v>0</v>
      </c>
      <c r="N57">
        <v>0</v>
      </c>
      <c r="O57" t="str">
        <v>Magister Akuntansi S2</v>
      </c>
      <c r="P57">
        <v>21</v>
      </c>
      <c r="Q57">
        <v>0</v>
      </c>
      <c r="R57">
        <v>0</v>
      </c>
      <c r="S57" t="str">
        <v>Fakultas Pascasarjan</v>
      </c>
      <c r="T57">
        <v>20</v>
      </c>
      <c r="U57" t="str">
        <v>Magister Akuntansi S2</v>
      </c>
      <c r="V57">
        <v>21</v>
      </c>
      <c r="W57" t="str">
        <v>index, follow, max-image-preview:large, max-snippet:-1, max-video-preview:-1</v>
      </c>
      <c r="X57">
        <v>0</v>
      </c>
      <c r="Y57">
        <v>0</v>
      </c>
      <c r="Z57" t="str">
        <v>https://pmb.widyatama.ac.id/program-studi/magister-akuntansi/</v>
      </c>
      <c r="AA57">
        <v>0</v>
      </c>
      <c r="AB57">
        <v>0</v>
      </c>
      <c r="AC57">
        <v>0</v>
      </c>
      <c r="AD57">
        <v>0</v>
      </c>
      <c r="AE57">
        <v>0</v>
      </c>
      <c r="AF57">
        <v>153586</v>
      </c>
      <c r="AG57">
        <v>33521</v>
      </c>
      <c r="AH57">
        <v>2727888</v>
      </c>
      <c r="AI57">
        <v>967050</v>
      </c>
      <c r="AJ57" t="str">
        <v>F</v>
      </c>
      <c r="AK57">
        <v>415</v>
      </c>
      <c r="AL57">
        <v>96</v>
      </c>
      <c r="AM57">
        <v>4323</v>
      </c>
      <c r="AN57" t="str">
        <v>0.000</v>
      </c>
      <c r="AO57" t="str">
        <v>Very Hard</v>
      </c>
      <c r="AP57">
        <v>2216</v>
      </c>
      <c r="AQ57">
        <v>2</v>
      </c>
      <c r="AR57">
        <v>2</v>
      </c>
      <c r="AS57">
        <v>0</v>
      </c>
      <c r="AT57">
        <v>6</v>
      </c>
      <c r="AU57">
        <v>2</v>
      </c>
      <c r="AV57">
        <v>1</v>
      </c>
      <c r="AW57">
        <v>2300</v>
      </c>
      <c r="AX57">
        <v>113</v>
      </c>
      <c r="AY57">
        <v>29</v>
      </c>
      <c r="AZ57">
        <v>0</v>
      </c>
      <c r="BA57">
        <v>10</v>
      </c>
      <c r="BB57">
        <v>8</v>
      </c>
      <c r="BC57">
        <v>2</v>
      </c>
      <c r="BD57">
        <v>0</v>
      </c>
      <c r="BE57">
        <v>0</v>
      </c>
      <c r="BF57">
        <v>0</v>
      </c>
      <c r="BG57">
        <v>0</v>
      </c>
      <c r="BH57" t="str">
        <v>f42b22f9f642f048bc379521407510cb</v>
      </c>
      <c r="BI57">
        <v>2822</v>
      </c>
      <c r="BJ57" t="str">
        <v>Saturday, 15-Aug-2026 10:03:39 GMT</v>
      </c>
      <c r="BK57">
        <v>0</v>
      </c>
      <c r="BL57">
        <v>0</v>
      </c>
      <c r="BM57">
        <v>0</v>
      </c>
      <c r="BN57" t="str">
        <v>en-US</v>
      </c>
      <c r="BO57" t="str">
        <v>2.0</v>
      </c>
      <c r="BP57">
        <v>0</v>
      </c>
      <c r="BQ57" t="str">
        <v>https://pmb.widyatama.ac.id/program-studi/magister-akuntansi/</v>
      </c>
      <c r="BR57">
        <v>46249.710821759261</v>
      </c>
      <c r="BZ57" t="str">
        <v>https://pmb.widyatama.ac.id/program-studi/magister-akuntansi/</v>
      </c>
      <c r="CA57" t="str">
        <v>Indexable</v>
      </c>
      <c r="CB57">
        <v>0</v>
      </c>
      <c r="CC57" t="str">
        <v>Program</v>
      </c>
      <c r="CD57" t="str">
        <v>Main PMB Website</v>
      </c>
      <c r="CE57" t="str">
        <v>Yes</v>
      </c>
      <c r="CV57" t="str">
        <v>Program</v>
      </c>
      <c r="DG57" t="str">
        <v>Program</v>
      </c>
      <c r="DV57" t="str">
        <v>Core PMB Website</v>
      </c>
      <c r="DW57" t="str">
        <v>Yes</v>
      </c>
      <c r="EA57" t="str">
        <v>P1 - Critical</v>
      </c>
    </row>
    <row r="58" spans="1:131">
      <c r="A58" t="str">
        <v>https://online.pmb.widyatama.ac.id/register/rpl</v>
      </c>
      <c r="B58" t="str">
        <v>text/html; charset=utf-8</v>
      </c>
      <c r="C58">
        <v>200</v>
      </c>
      <c r="D58">
        <v>0</v>
      </c>
      <c r="E58" t="str">
        <v>Indexable</v>
      </c>
      <c r="F58">
        <v>0</v>
      </c>
      <c r="G58" t="str">
        <v>PMB | Universitas Widyatama</v>
      </c>
      <c r="H58">
        <v>27</v>
      </c>
      <c r="I58">
        <v>262</v>
      </c>
      <c r="J58">
        <v>0</v>
      </c>
      <c r="K58">
        <v>0</v>
      </c>
      <c r="L58">
        <v>0</v>
      </c>
      <c r="M58">
        <v>0</v>
      </c>
      <c r="N58">
        <v>0</v>
      </c>
      <c r="O58" t="str">
        <v>Form Register PMB Rekognisi Pembelajaran Lampau</v>
      </c>
      <c r="P58">
        <v>47</v>
      </c>
      <c r="Q58">
        <v>0</v>
      </c>
      <c r="R58">
        <v>0</v>
      </c>
      <c r="S58">
        <v>0</v>
      </c>
      <c r="T58">
        <v>0</v>
      </c>
      <c r="U58">
        <v>0</v>
      </c>
      <c r="V58">
        <v>0</v>
      </c>
      <c r="W58">
        <v>0</v>
      </c>
      <c r="X58">
        <v>0</v>
      </c>
      <c r="Y58">
        <v>0</v>
      </c>
      <c r="Z58">
        <v>0</v>
      </c>
      <c r="AA58">
        <v>0</v>
      </c>
      <c r="AB58">
        <v>0</v>
      </c>
      <c r="AC58">
        <v>0</v>
      </c>
      <c r="AD58">
        <v>0</v>
      </c>
      <c r="AE58">
        <v>0</v>
      </c>
      <c r="AF58">
        <v>256303</v>
      </c>
      <c r="AG58">
        <v>22437</v>
      </c>
      <c r="AH58">
        <v>1029629</v>
      </c>
      <c r="AI58">
        <v>365009</v>
      </c>
      <c r="AJ58" t="str">
        <v>C</v>
      </c>
      <c r="AK58">
        <v>2213</v>
      </c>
      <c r="AL58">
        <v>561</v>
      </c>
      <c r="AM58">
        <v>3945</v>
      </c>
      <c r="AN58">
        <v>100000</v>
      </c>
      <c r="AO58" t="str">
        <v>Very Easy</v>
      </c>
      <c r="AP58">
        <v>6281</v>
      </c>
      <c r="AQ58">
        <v>2</v>
      </c>
      <c r="AR58">
        <v>1</v>
      </c>
      <c r="AS58">
        <v>0</v>
      </c>
      <c r="AT58">
        <v>16</v>
      </c>
      <c r="AU58">
        <v>4</v>
      </c>
      <c r="AV58">
        <v>4</v>
      </c>
      <c r="AW58">
        <v>4600</v>
      </c>
      <c r="AX58">
        <v>7</v>
      </c>
      <c r="AY58">
        <v>6</v>
      </c>
      <c r="AZ58">
        <v>0</v>
      </c>
      <c r="BA58">
        <v>2</v>
      </c>
      <c r="BB58">
        <v>2</v>
      </c>
      <c r="BC58">
        <v>0</v>
      </c>
      <c r="BD58">
        <v>0</v>
      </c>
      <c r="BE58">
        <v>0</v>
      </c>
      <c r="BF58">
        <v>0</v>
      </c>
      <c r="BG58">
        <v>0</v>
      </c>
      <c r="BH58" t="str">
        <v>895a02a08a79d6bb4acd88240a876fab</v>
      </c>
      <c r="BI58" t="str">
        <v>0.320</v>
      </c>
      <c r="BJ58">
        <v>0</v>
      </c>
      <c r="BK58">
        <v>0</v>
      </c>
      <c r="BL58">
        <v>0</v>
      </c>
      <c r="BM58">
        <v>0</v>
      </c>
      <c r="BN58" t="str">
        <v>en</v>
      </c>
      <c r="BO58" t="str">
        <v>2.0</v>
      </c>
      <c r="BP58">
        <v>0</v>
      </c>
      <c r="BQ58" t="str">
        <v>https://online.pmb.widyatama.ac.id/register/rpl</v>
      </c>
      <c r="BR58">
        <v>46249.710972222223</v>
      </c>
      <c r="BZ58" t="str">
        <v>https://online.pmb.widyatama.ac.id/register/rpl</v>
      </c>
      <c r="CA58" t="str">
        <v>Indexable</v>
      </c>
      <c r="CB58">
        <v>0</v>
      </c>
      <c r="CC58" t="str">
        <v>Other</v>
      </c>
      <c r="CD58" t="str">
        <v>Online Registration System</v>
      </c>
      <c r="CE58" t="str">
        <v>Yes</v>
      </c>
      <c r="CV58" t="str">
        <v>Registration System</v>
      </c>
      <c r="DG58" t="str">
        <v>Registration System</v>
      </c>
      <c r="DV58" t="str">
        <v>Registration System</v>
      </c>
      <c r="DW58" t="str">
        <v>Yes</v>
      </c>
      <c r="EA58" t="str">
        <v>P1 - Critical</v>
      </c>
    </row>
    <row r="59" spans="1:131">
      <c r="A59" t="str">
        <v>https://online.pmb.widyatama.ac.id/register/reg</v>
      </c>
      <c r="B59" t="str">
        <v>text/html; charset=utf-8</v>
      </c>
      <c r="C59">
        <v>200</v>
      </c>
      <c r="D59">
        <v>0</v>
      </c>
      <c r="E59" t="str">
        <v>Indexable</v>
      </c>
      <c r="F59">
        <v>0</v>
      </c>
      <c r="G59" t="str">
        <v>PMB | Universitas Widyatama</v>
      </c>
      <c r="H59">
        <v>27</v>
      </c>
      <c r="I59">
        <v>262</v>
      </c>
      <c r="J59">
        <v>0</v>
      </c>
      <c r="K59">
        <v>0</v>
      </c>
      <c r="L59">
        <v>0</v>
      </c>
      <c r="M59">
        <v>0</v>
      </c>
      <c r="N59">
        <v>0</v>
      </c>
      <c r="O59" t="str">
        <v>Form Register PMB Kelas Pagi</v>
      </c>
      <c r="P59">
        <v>28</v>
      </c>
      <c r="Q59">
        <v>0</v>
      </c>
      <c r="R59">
        <v>0</v>
      </c>
      <c r="S59">
        <v>0</v>
      </c>
      <c r="T59">
        <v>0</v>
      </c>
      <c r="U59">
        <v>0</v>
      </c>
      <c r="V59">
        <v>0</v>
      </c>
      <c r="W59">
        <v>0</v>
      </c>
      <c r="X59">
        <v>0</v>
      </c>
      <c r="Y59">
        <v>0</v>
      </c>
      <c r="Z59">
        <v>0</v>
      </c>
      <c r="AA59">
        <v>0</v>
      </c>
      <c r="AB59">
        <v>0</v>
      </c>
      <c r="AC59">
        <v>0</v>
      </c>
      <c r="AD59">
        <v>0</v>
      </c>
      <c r="AE59">
        <v>0</v>
      </c>
      <c r="AF59">
        <v>264444</v>
      </c>
      <c r="AG59">
        <v>22593</v>
      </c>
      <c r="AH59">
        <v>1030375</v>
      </c>
      <c r="AI59">
        <v>365273</v>
      </c>
      <c r="AJ59" t="str">
        <v>C</v>
      </c>
      <c r="AK59">
        <v>3192</v>
      </c>
      <c r="AL59">
        <v>808</v>
      </c>
      <c r="AM59">
        <v>3950</v>
      </c>
      <c r="AN59">
        <v>100000</v>
      </c>
      <c r="AO59" t="str">
        <v>Very Easy</v>
      </c>
      <c r="AP59">
        <v>6091</v>
      </c>
      <c r="AQ59">
        <v>2</v>
      </c>
      <c r="AR59">
        <v>1</v>
      </c>
      <c r="AS59">
        <v>0</v>
      </c>
      <c r="AT59">
        <v>19</v>
      </c>
      <c r="AU59">
        <v>5</v>
      </c>
      <c r="AV59">
        <v>4</v>
      </c>
      <c r="AW59">
        <v>5750</v>
      </c>
      <c r="AX59">
        <v>7</v>
      </c>
      <c r="AY59">
        <v>6</v>
      </c>
      <c r="AZ59">
        <v>0</v>
      </c>
      <c r="BA59">
        <v>2</v>
      </c>
      <c r="BB59">
        <v>2</v>
      </c>
      <c r="BC59">
        <v>0</v>
      </c>
      <c r="BD59">
        <v>0</v>
      </c>
      <c r="BE59">
        <v>0</v>
      </c>
      <c r="BF59">
        <v>0</v>
      </c>
      <c r="BG59">
        <v>0</v>
      </c>
      <c r="BH59" t="str">
        <v>e921f872689df737e2be23834495fd0d</v>
      </c>
      <c r="BI59" t="str">
        <v>0.230</v>
      </c>
      <c r="BJ59">
        <v>0</v>
      </c>
      <c r="BK59">
        <v>0</v>
      </c>
      <c r="BL59">
        <v>0</v>
      </c>
      <c r="BM59">
        <v>0</v>
      </c>
      <c r="BN59" t="str">
        <v>en</v>
      </c>
      <c r="BO59" t="str">
        <v>2.0</v>
      </c>
      <c r="BP59">
        <v>0</v>
      </c>
      <c r="BQ59" t="str">
        <v>https://online.pmb.widyatama.ac.id/register/reg</v>
      </c>
      <c r="BR59">
        <v>46249.7109837963</v>
      </c>
      <c r="BZ59" t="str">
        <v>https://online.pmb.widyatama.ac.id/register/reg</v>
      </c>
      <c r="CA59" t="str">
        <v>Indexable</v>
      </c>
      <c r="CB59">
        <v>0</v>
      </c>
      <c r="CC59" t="str">
        <v>Other</v>
      </c>
      <c r="CD59" t="str">
        <v>Online Registration System</v>
      </c>
      <c r="CE59" t="str">
        <v>Yes</v>
      </c>
      <c r="CV59" t="str">
        <v>Registration System</v>
      </c>
      <c r="DG59" t="str">
        <v>Registration System</v>
      </c>
      <c r="DV59" t="str">
        <v>Registration System</v>
      </c>
      <c r="DW59" t="str">
        <v>Yes</v>
      </c>
      <c r="EA59" t="str">
        <v>P1 - Critical</v>
      </c>
    </row>
    <row r="60" spans="1:131">
      <c r="A60" t="str">
        <v>https://online.pmb.widyatama.ac.id/register/sps</v>
      </c>
      <c r="B60" t="str">
        <v>text/html; charset=utf-8</v>
      </c>
      <c r="C60">
        <v>200</v>
      </c>
      <c r="D60">
        <v>0</v>
      </c>
      <c r="E60" t="str">
        <v>Indexable</v>
      </c>
      <c r="F60">
        <v>0</v>
      </c>
      <c r="G60" t="str">
        <v>PMB | Universitas Widyatama</v>
      </c>
      <c r="H60">
        <v>27</v>
      </c>
      <c r="I60">
        <v>262</v>
      </c>
      <c r="J60">
        <v>0</v>
      </c>
      <c r="K60">
        <v>0</v>
      </c>
      <c r="L60">
        <v>0</v>
      </c>
      <c r="M60">
        <v>0</v>
      </c>
      <c r="N60">
        <v>0</v>
      </c>
      <c r="O60" t="str">
        <v>Form Register PMB Pascasarjana</v>
      </c>
      <c r="P60">
        <v>30</v>
      </c>
      <c r="Q60">
        <v>0</v>
      </c>
      <c r="R60">
        <v>0</v>
      </c>
      <c r="S60">
        <v>0</v>
      </c>
      <c r="T60">
        <v>0</v>
      </c>
      <c r="U60">
        <v>0</v>
      </c>
      <c r="V60">
        <v>0</v>
      </c>
      <c r="W60">
        <v>0</v>
      </c>
      <c r="X60">
        <v>0</v>
      </c>
      <c r="Y60">
        <v>0</v>
      </c>
      <c r="Z60">
        <v>0</v>
      </c>
      <c r="AA60">
        <v>0</v>
      </c>
      <c r="AB60">
        <v>0</v>
      </c>
      <c r="AC60">
        <v>0</v>
      </c>
      <c r="AD60">
        <v>0</v>
      </c>
      <c r="AE60">
        <v>0</v>
      </c>
      <c r="AF60">
        <v>254208</v>
      </c>
      <c r="AG60">
        <v>22319</v>
      </c>
      <c r="AH60">
        <v>1029419</v>
      </c>
      <c r="AI60">
        <v>364934</v>
      </c>
      <c r="AJ60" t="str">
        <v>C</v>
      </c>
      <c r="AK60">
        <v>2211</v>
      </c>
      <c r="AL60">
        <v>561</v>
      </c>
      <c r="AM60">
        <v>3941</v>
      </c>
      <c r="AN60">
        <v>100000</v>
      </c>
      <c r="AO60" t="str">
        <v>Very Easy</v>
      </c>
      <c r="AP60">
        <v>6607</v>
      </c>
      <c r="AQ60">
        <v>2</v>
      </c>
      <c r="AR60">
        <v>1</v>
      </c>
      <c r="AS60">
        <v>0</v>
      </c>
      <c r="AT60">
        <v>54</v>
      </c>
      <c r="AU60">
        <v>8</v>
      </c>
      <c r="AV60">
        <v>19</v>
      </c>
      <c r="AW60">
        <v>9200</v>
      </c>
      <c r="AX60">
        <v>7</v>
      </c>
      <c r="AY60">
        <v>6</v>
      </c>
      <c r="AZ60">
        <v>0</v>
      </c>
      <c r="BA60">
        <v>2</v>
      </c>
      <c r="BB60">
        <v>2</v>
      </c>
      <c r="BC60">
        <v>0</v>
      </c>
      <c r="BD60">
        <v>0</v>
      </c>
      <c r="BE60">
        <v>0</v>
      </c>
      <c r="BF60">
        <v>0</v>
      </c>
      <c r="BG60">
        <v>0</v>
      </c>
      <c r="BH60" t="str">
        <v>9e738ca6fda9cb5ba154f61e33b482ea</v>
      </c>
      <c r="BI60" t="str">
        <v>0.285</v>
      </c>
      <c r="BJ60">
        <v>0</v>
      </c>
      <c r="BK60">
        <v>0</v>
      </c>
      <c r="BL60">
        <v>0</v>
      </c>
      <c r="BM60">
        <v>0</v>
      </c>
      <c r="BN60" t="str">
        <v>en</v>
      </c>
      <c r="BO60" t="str">
        <v>2.0</v>
      </c>
      <c r="BP60">
        <v>0</v>
      </c>
      <c r="BQ60" t="str">
        <v>https://online.pmb.widyatama.ac.id/register/sps</v>
      </c>
      <c r="BR60">
        <v>46249.711006944446</v>
      </c>
      <c r="BZ60" t="str">
        <v>https://online.pmb.widyatama.ac.id/register/sps</v>
      </c>
      <c r="CA60" t="str">
        <v>Indexable</v>
      </c>
      <c r="CB60">
        <v>0</v>
      </c>
      <c r="CC60" t="str">
        <v>Other</v>
      </c>
      <c r="CD60" t="str">
        <v>Online Registration System</v>
      </c>
      <c r="CE60" t="str">
        <v>Yes</v>
      </c>
      <c r="CV60" t="str">
        <v>Registration System</v>
      </c>
      <c r="DG60" t="str">
        <v>Registration System</v>
      </c>
      <c r="DV60" t="str">
        <v>Registration System</v>
      </c>
      <c r="DW60" t="str">
        <v>Yes</v>
      </c>
      <c r="EA60" t="str">
        <v>P1 - Critical</v>
      </c>
    </row>
    <row r="61" spans="1:131">
      <c r="A61" t="str">
        <v>https://pmb.widyatama.ac.id/jalur-seleksi-mahasiswa-asing-international/</v>
      </c>
      <c r="B61" t="str">
        <v>text/html; charset=UTF-8</v>
      </c>
      <c r="C61">
        <v>200</v>
      </c>
      <c r="D61">
        <v>0</v>
      </c>
      <c r="E61" t="str">
        <v>Indexable</v>
      </c>
      <c r="F61">
        <v>0</v>
      </c>
      <c r="G61" t="str">
        <v>Jalur Seleksi Mahasiswa Asing UTama International Scholarship - PMB UTama</v>
      </c>
      <c r="H61">
        <v>73</v>
      </c>
      <c r="I61">
        <v>700</v>
      </c>
      <c r="J61">
        <v>0</v>
      </c>
      <c r="K61">
        <v>0</v>
      </c>
      <c r="L61">
        <v>0</v>
      </c>
      <c r="M61">
        <v>0</v>
      </c>
      <c r="N61">
        <v>0</v>
      </c>
      <c r="O61" t="str">
        <v>Jalur Seleksi Beasiswa UTama International Scholarship</v>
      </c>
      <c r="P61">
        <v>54</v>
      </c>
      <c r="Q61">
        <v>0</v>
      </c>
      <c r="R61">
        <v>0</v>
      </c>
      <c r="S61" t="str">
        <v>Kesempatan studi bagi mahasiswa internasional berprestasi untuk bergabung di Universitas Widyatama.</v>
      </c>
      <c r="T61">
        <v>99</v>
      </c>
      <c r="U61" t="str">
        <v>Jalur Ini Cocok untuk Mahasiswa Internasional Berprestasi yang Ingin Studi di Indonesia</v>
      </c>
      <c r="V61">
        <v>87</v>
      </c>
      <c r="W61" t="str">
        <v>index, follow, max-image-preview:large, max-snippet:-1, max-video-preview:-1</v>
      </c>
      <c r="X61">
        <v>0</v>
      </c>
      <c r="Y61">
        <v>0</v>
      </c>
      <c r="Z61" t="str">
        <v>https://pmb.widyatama.ac.id/jalur-seleksi-mahasiswa-asing-international/</v>
      </c>
      <c r="AA61">
        <v>0</v>
      </c>
      <c r="AB61">
        <v>0</v>
      </c>
      <c r="AC61">
        <v>0</v>
      </c>
      <c r="AD61">
        <v>0</v>
      </c>
      <c r="AE61">
        <v>0</v>
      </c>
      <c r="AF61">
        <v>169032</v>
      </c>
      <c r="AG61">
        <v>36907</v>
      </c>
      <c r="AH61">
        <v>2853783</v>
      </c>
      <c r="AI61">
        <v>1011680</v>
      </c>
      <c r="AJ61" t="str">
        <v>F</v>
      </c>
      <c r="AK61">
        <v>756</v>
      </c>
      <c r="AL61">
        <v>153</v>
      </c>
      <c r="AM61">
        <v>4941</v>
      </c>
      <c r="AN61" t="str">
        <v>0.000</v>
      </c>
      <c r="AO61" t="str">
        <v>Very Hard</v>
      </c>
      <c r="AP61">
        <v>3337</v>
      </c>
      <c r="AQ61">
        <v>2</v>
      </c>
      <c r="AR61">
        <v>1</v>
      </c>
      <c r="AS61">
        <v>0</v>
      </c>
      <c r="AT61">
        <v>7</v>
      </c>
      <c r="AU61">
        <v>2</v>
      </c>
      <c r="AV61">
        <v>1</v>
      </c>
      <c r="AW61">
        <v>2300</v>
      </c>
      <c r="AX61">
        <v>127</v>
      </c>
      <c r="AY61">
        <v>30</v>
      </c>
      <c r="AZ61">
        <v>0</v>
      </c>
      <c r="BA61">
        <v>16</v>
      </c>
      <c r="BB61">
        <v>9</v>
      </c>
      <c r="BC61">
        <v>3</v>
      </c>
      <c r="BD61">
        <v>0</v>
      </c>
      <c r="BE61">
        <v>0</v>
      </c>
      <c r="BF61">
        <v>0</v>
      </c>
      <c r="BG61">
        <v>0</v>
      </c>
      <c r="BH61" t="str">
        <v>c67a80db4cb43abdd795a90346000696</v>
      </c>
      <c r="BI61">
        <v>2276</v>
      </c>
      <c r="BJ61" t="str">
        <v>Saturday, 15-Aug-2026 10:03:53 GMT</v>
      </c>
      <c r="BK61">
        <v>0</v>
      </c>
      <c r="BL61">
        <v>0</v>
      </c>
      <c r="BM61">
        <v>0</v>
      </c>
      <c r="BN61" t="str">
        <v>en-US</v>
      </c>
      <c r="BO61" t="str">
        <v>2.0</v>
      </c>
      <c r="BP61">
        <v>0</v>
      </c>
      <c r="BQ61" t="str">
        <v>https://pmb.widyatama.ac.id/jalur-seleksi-mahasiswa-asing-international/</v>
      </c>
      <c r="BR61">
        <v>46249.710995370369</v>
      </c>
      <c r="BZ61" t="str">
        <v>https://pmb.widyatama.ac.id/jalur-seleksi-mahasiswa-asing-international/</v>
      </c>
      <c r="CA61" t="str">
        <v>Indexable</v>
      </c>
      <c r="CB61">
        <v>0</v>
      </c>
      <c r="CC61" t="str">
        <v>Admission</v>
      </c>
      <c r="CD61" t="str">
        <v>Main PMB Website</v>
      </c>
      <c r="CE61" t="str">
        <v>Yes</v>
      </c>
      <c r="CV61" t="str">
        <v>Admission</v>
      </c>
      <c r="DG61" t="str">
        <v>Admission</v>
      </c>
      <c r="DV61" t="str">
        <v>Core PMB Website</v>
      </c>
      <c r="DW61" t="str">
        <v>Yes</v>
      </c>
      <c r="EA61" t="str">
        <v>P1 - Critical</v>
      </c>
    </row>
    <row r="62" spans="1:131">
      <c r="A62" t="str">
        <v>https://pmb.widyatama.ac.id/program-studi/teknik-mesin-s1/</v>
      </c>
      <c r="B62" t="str">
        <v>text/html; charset=UTF-8</v>
      </c>
      <c r="C62">
        <v>200</v>
      </c>
      <c r="D62">
        <v>0</v>
      </c>
      <c r="E62" t="str">
        <v>Indexable</v>
      </c>
      <c r="F62">
        <v>0</v>
      </c>
      <c r="G62" t="str">
        <v>Teknik Mesin S1 - PMB UTama</v>
      </c>
      <c r="H62">
        <v>27</v>
      </c>
      <c r="I62">
        <v>274</v>
      </c>
      <c r="J62">
        <v>0</v>
      </c>
      <c r="K62">
        <v>0</v>
      </c>
      <c r="L62">
        <v>0</v>
      </c>
      <c r="M62">
        <v>0</v>
      </c>
      <c r="N62">
        <v>0</v>
      </c>
      <c r="O62" t="str">
        <v>Machinery in the Aviation Industry</v>
      </c>
      <c r="P62">
        <v>34</v>
      </c>
      <c r="Q62">
        <v>0</v>
      </c>
      <c r="R62">
        <v>0</v>
      </c>
      <c r="S62" t="str">
        <v>Fakultas Teknik</v>
      </c>
      <c r="T62">
        <v>15</v>
      </c>
      <c r="U62" t="str">
        <v>Teknik Mesin S1</v>
      </c>
      <c r="V62">
        <v>15</v>
      </c>
      <c r="W62" t="str">
        <v>index, follow, max-image-preview:large, max-snippet:-1, max-video-preview:-1</v>
      </c>
      <c r="X62">
        <v>0</v>
      </c>
      <c r="Y62">
        <v>0</v>
      </c>
      <c r="Z62" t="str">
        <v>https://pmb.widyatama.ac.id/program-studi/teknik-mesin-s1/</v>
      </c>
      <c r="AA62">
        <v>0</v>
      </c>
      <c r="AB62">
        <v>0</v>
      </c>
      <c r="AC62">
        <v>0</v>
      </c>
      <c r="AD62">
        <v>0</v>
      </c>
      <c r="AE62">
        <v>0</v>
      </c>
      <c r="AF62">
        <v>157349</v>
      </c>
      <c r="AG62">
        <v>33607</v>
      </c>
      <c r="AH62">
        <v>3263094</v>
      </c>
      <c r="AI62">
        <v>1156783</v>
      </c>
      <c r="AJ62" t="str">
        <v>F</v>
      </c>
      <c r="AK62">
        <v>342</v>
      </c>
      <c r="AL62">
        <v>83</v>
      </c>
      <c r="AM62">
        <v>4120</v>
      </c>
      <c r="AN62">
        <v>4758</v>
      </c>
      <c r="AO62" t="str">
        <v>Very Hard</v>
      </c>
      <c r="AP62">
        <v>1907</v>
      </c>
      <c r="AQ62">
        <v>2</v>
      </c>
      <c r="AR62">
        <v>2</v>
      </c>
      <c r="AS62">
        <v>0</v>
      </c>
      <c r="AT62">
        <v>12</v>
      </c>
      <c r="AU62">
        <v>6</v>
      </c>
      <c r="AV62">
        <v>1</v>
      </c>
      <c r="AW62">
        <v>6900</v>
      </c>
      <c r="AX62">
        <v>113</v>
      </c>
      <c r="AY62">
        <v>29</v>
      </c>
      <c r="AZ62">
        <v>0</v>
      </c>
      <c r="BA62">
        <v>10</v>
      </c>
      <c r="BB62">
        <v>8</v>
      </c>
      <c r="BC62">
        <v>2</v>
      </c>
      <c r="BD62">
        <v>0</v>
      </c>
      <c r="BE62">
        <v>0</v>
      </c>
      <c r="BF62">
        <v>0</v>
      </c>
      <c r="BG62">
        <v>0</v>
      </c>
      <c r="BH62" t="str">
        <v>d023a4cfa838044fc62efa782aa59d92</v>
      </c>
      <c r="BI62" t="str">
        <v>0.085</v>
      </c>
      <c r="BJ62" t="str">
        <v>Saturday, 15-Aug-2026 10:04:00 GMT</v>
      </c>
      <c r="BK62">
        <v>0</v>
      </c>
      <c r="BL62">
        <v>0</v>
      </c>
      <c r="BM62">
        <v>0</v>
      </c>
      <c r="BN62" t="str">
        <v>en-US</v>
      </c>
      <c r="BO62" t="str">
        <v>2.0</v>
      </c>
      <c r="BP62">
        <v>0</v>
      </c>
      <c r="BQ62" t="str">
        <v>https://pmb.widyatama.ac.id/program-studi/teknik-mesin-s1/</v>
      </c>
      <c r="BR62">
        <v>46249.711099537039</v>
      </c>
      <c r="BZ62" t="str">
        <v>https://pmb.widyatama.ac.id/program-studi/teknik-mesin-s1/</v>
      </c>
      <c r="CA62" t="str">
        <v>Indexable</v>
      </c>
      <c r="CB62">
        <v>0</v>
      </c>
      <c r="CC62" t="str">
        <v>Program</v>
      </c>
      <c r="CD62" t="str">
        <v>Main PMB Website</v>
      </c>
      <c r="CE62" t="str">
        <v>Yes</v>
      </c>
      <c r="CV62" t="str">
        <v>Program</v>
      </c>
      <c r="DG62" t="str">
        <v>Program</v>
      </c>
      <c r="DV62" t="str">
        <v>Core PMB Website</v>
      </c>
      <c r="DW62" t="str">
        <v>Yes</v>
      </c>
      <c r="EA62" t="str">
        <v>P1 - Critical</v>
      </c>
    </row>
    <row r="63" spans="1:131">
      <c r="A63" t="str">
        <v>https://pmb.widyatama.ac.id/program-studi/branding-design-strategy-d4/</v>
      </c>
      <c r="B63" t="str">
        <v>text/html; charset=UTF-8</v>
      </c>
      <c r="C63">
        <v>200</v>
      </c>
      <c r="D63">
        <v>0</v>
      </c>
      <c r="E63" t="str">
        <v>Indexable</v>
      </c>
      <c r="F63">
        <v>0</v>
      </c>
      <c r="G63" t="str">
        <v>Desain Grafis D4 - PMB UTama</v>
      </c>
      <c r="H63">
        <v>28</v>
      </c>
      <c r="I63">
        <v>276</v>
      </c>
      <c r="J63">
        <v>0</v>
      </c>
      <c r="K63">
        <v>0</v>
      </c>
      <c r="L63">
        <v>0</v>
      </c>
      <c r="M63">
        <v>0</v>
      </c>
      <c r="N63">
        <v>0</v>
      </c>
      <c r="O63" t="str">
        <v>Branding Design Strategy D4</v>
      </c>
      <c r="P63">
        <v>27</v>
      </c>
      <c r="Q63">
        <v>0</v>
      </c>
      <c r="R63">
        <v>0</v>
      </c>
      <c r="S63" t="str">
        <v>Fakultas Desain Komunikasi Visual</v>
      </c>
      <c r="T63">
        <v>33</v>
      </c>
      <c r="U63" t="str">
        <v>Branding Design Strategy D4</v>
      </c>
      <c r="V63">
        <v>27</v>
      </c>
      <c r="W63" t="str">
        <v>index, follow, max-image-preview:large, max-snippet:-1, max-video-preview:-1</v>
      </c>
      <c r="X63">
        <v>0</v>
      </c>
      <c r="Y63">
        <v>0</v>
      </c>
      <c r="Z63" t="str">
        <v>https://pmb.widyatama.ac.id/program-studi/branding-design-strategy-d4/</v>
      </c>
      <c r="AA63">
        <v>0</v>
      </c>
      <c r="AB63">
        <v>0</v>
      </c>
      <c r="AC63">
        <v>0</v>
      </c>
      <c r="AD63">
        <v>0</v>
      </c>
      <c r="AE63">
        <v>0</v>
      </c>
      <c r="AF63">
        <v>155903</v>
      </c>
      <c r="AG63">
        <v>33838</v>
      </c>
      <c r="AH63">
        <v>4691341</v>
      </c>
      <c r="AI63">
        <v>1663104</v>
      </c>
      <c r="AJ63" t="str">
        <v>F</v>
      </c>
      <c r="AK63">
        <v>455</v>
      </c>
      <c r="AL63">
        <v>96</v>
      </c>
      <c r="AM63">
        <v>4740</v>
      </c>
      <c r="AN63">
        <v>7351</v>
      </c>
      <c r="AO63" t="str">
        <v>Very Hard</v>
      </c>
      <c r="AP63">
        <v>2270</v>
      </c>
      <c r="AQ63">
        <v>2</v>
      </c>
      <c r="AR63">
        <v>2</v>
      </c>
      <c r="AS63">
        <v>0</v>
      </c>
      <c r="AT63">
        <v>10</v>
      </c>
      <c r="AU63">
        <v>5</v>
      </c>
      <c r="AV63">
        <v>1</v>
      </c>
      <c r="AW63">
        <v>5750</v>
      </c>
      <c r="AX63">
        <v>113</v>
      </c>
      <c r="AY63">
        <v>29</v>
      </c>
      <c r="AZ63">
        <v>0</v>
      </c>
      <c r="BA63">
        <v>10</v>
      </c>
      <c r="BB63">
        <v>8</v>
      </c>
      <c r="BC63">
        <v>2</v>
      </c>
      <c r="BD63">
        <v>0</v>
      </c>
      <c r="BE63">
        <v>0</v>
      </c>
      <c r="BF63">
        <v>0</v>
      </c>
      <c r="BG63">
        <v>0</v>
      </c>
      <c r="BH63" t="str">
        <v>5ed180918d3b456880f5b44038f09db0</v>
      </c>
      <c r="BI63">
        <v>2604</v>
      </c>
      <c r="BJ63" t="str">
        <v>Saturday, 15-Aug-2026 10:04:00 GMT</v>
      </c>
      <c r="BK63">
        <v>0</v>
      </c>
      <c r="BL63">
        <v>0</v>
      </c>
      <c r="BM63">
        <v>0</v>
      </c>
      <c r="BN63" t="str">
        <v>en-US</v>
      </c>
      <c r="BO63" t="str">
        <v>2.0</v>
      </c>
      <c r="BP63">
        <v>0</v>
      </c>
      <c r="BQ63" t="str">
        <v>https://pmb.widyatama.ac.id/program-studi/branding-design-strategy-d4/</v>
      </c>
      <c r="BR63">
        <v>46249.711064814815</v>
      </c>
      <c r="BZ63" t="str">
        <v>https://pmb.widyatama.ac.id/program-studi/branding-design-strategy-d4/</v>
      </c>
      <c r="CA63" t="str">
        <v>Indexable</v>
      </c>
      <c r="CB63">
        <v>0</v>
      </c>
      <c r="CC63" t="str">
        <v>Program</v>
      </c>
      <c r="CD63" t="str">
        <v>Main PMB Website</v>
      </c>
      <c r="CE63" t="str">
        <v>Yes</v>
      </c>
      <c r="CV63" t="str">
        <v>Program</v>
      </c>
      <c r="DG63" t="str">
        <v>Program</v>
      </c>
      <c r="DV63" t="str">
        <v>Core PMB Website</v>
      </c>
      <c r="DW63" t="str">
        <v>Yes</v>
      </c>
      <c r="EA63" t="str">
        <v>P1 - Critical</v>
      </c>
    </row>
    <row r="64" spans="1:131">
      <c r="A64" t="str">
        <v>https://pmb.widyatama.ac.id/program-studi/bahasa-jepang-s1/</v>
      </c>
      <c r="B64" t="str">
        <v>text/html; charset=UTF-8</v>
      </c>
      <c r="C64">
        <v>200</v>
      </c>
      <c r="D64">
        <v>0</v>
      </c>
      <c r="E64" t="str">
        <v>Indexable</v>
      </c>
      <c r="F64">
        <v>0</v>
      </c>
      <c r="G64" t="str">
        <v>Bahasa Jepang S1 - PMB UTama</v>
      </c>
      <c r="H64">
        <v>28</v>
      </c>
      <c r="I64">
        <v>295</v>
      </c>
      <c r="J64">
        <v>0</v>
      </c>
      <c r="K64">
        <v>0</v>
      </c>
      <c r="L64">
        <v>0</v>
      </c>
      <c r="M64">
        <v>0</v>
      </c>
      <c r="N64">
        <v>0</v>
      </c>
      <c r="O64" t="str">
        <v>Fluent in Japanese as an Industrial Translator &amp; Interpreter</v>
      </c>
      <c r="P64">
        <v>60</v>
      </c>
      <c r="Q64">
        <v>0</v>
      </c>
      <c r="R64">
        <v>0</v>
      </c>
      <c r="S64" t="str">
        <v>Fakultas Ilmu Budaya</v>
      </c>
      <c r="T64">
        <v>20</v>
      </c>
      <c r="U64" t="str">
        <v>Bahasa Jepang S1</v>
      </c>
      <c r="V64">
        <v>16</v>
      </c>
      <c r="W64" t="str">
        <v>index, follow, max-image-preview:large, max-snippet:-1, max-video-preview:-1</v>
      </c>
      <c r="X64">
        <v>0</v>
      </c>
      <c r="Y64">
        <v>0</v>
      </c>
      <c r="Z64" t="str">
        <v>https://pmb.widyatama.ac.id/program-studi/bahasa-jepang-s1/</v>
      </c>
      <c r="AA64">
        <v>0</v>
      </c>
      <c r="AB64">
        <v>0</v>
      </c>
      <c r="AC64">
        <v>0</v>
      </c>
      <c r="AD64">
        <v>0</v>
      </c>
      <c r="AE64">
        <v>0</v>
      </c>
      <c r="AF64">
        <v>148644</v>
      </c>
      <c r="AG64">
        <v>32604</v>
      </c>
      <c r="AH64">
        <v>3527907</v>
      </c>
      <c r="AI64">
        <v>1250661</v>
      </c>
      <c r="AJ64" t="str">
        <v>F</v>
      </c>
      <c r="AK64">
        <v>272</v>
      </c>
      <c r="AL64">
        <v>66</v>
      </c>
      <c r="AM64">
        <v>4121</v>
      </c>
      <c r="AN64">
        <v>25054</v>
      </c>
      <c r="AO64" t="str">
        <v>Very Hard</v>
      </c>
      <c r="AP64">
        <v>1694</v>
      </c>
      <c r="AQ64">
        <v>2</v>
      </c>
      <c r="AR64">
        <v>2</v>
      </c>
      <c r="AS64">
        <v>0</v>
      </c>
      <c r="AT64">
        <v>12</v>
      </c>
      <c r="AU64">
        <v>6</v>
      </c>
      <c r="AV64">
        <v>1</v>
      </c>
      <c r="AW64">
        <v>6900</v>
      </c>
      <c r="AX64">
        <v>113</v>
      </c>
      <c r="AY64">
        <v>29</v>
      </c>
      <c r="AZ64">
        <v>0</v>
      </c>
      <c r="BA64">
        <v>10</v>
      </c>
      <c r="BB64">
        <v>8</v>
      </c>
      <c r="BC64">
        <v>2</v>
      </c>
      <c r="BD64">
        <v>0</v>
      </c>
      <c r="BE64">
        <v>0</v>
      </c>
      <c r="BF64">
        <v>0</v>
      </c>
      <c r="BG64">
        <v>0</v>
      </c>
      <c r="BH64" t="str">
        <v>cc2d96ec232718151ec24b9b54ae65aa</v>
      </c>
      <c r="BI64" t="str">
        <v>0.083</v>
      </c>
      <c r="BJ64" t="str">
        <v>Saturday, 15-Aug-2026 10:04:01 GMT</v>
      </c>
      <c r="BK64">
        <v>0</v>
      </c>
      <c r="BL64">
        <v>0</v>
      </c>
      <c r="BM64">
        <v>0</v>
      </c>
      <c r="BN64" t="str">
        <v>en-US</v>
      </c>
      <c r="BO64" t="str">
        <v>2.0</v>
      </c>
      <c r="BP64">
        <v>0</v>
      </c>
      <c r="BQ64" t="str">
        <v>https://pmb.widyatama.ac.id/program-studi/bahasa-jepang-s1/</v>
      </c>
      <c r="BR64">
        <v>46249.711111111108</v>
      </c>
      <c r="BZ64" t="str">
        <v>https://pmb.widyatama.ac.id/program-studi/bahasa-jepang-s1/</v>
      </c>
      <c r="CA64" t="str">
        <v>Indexable</v>
      </c>
      <c r="CB64">
        <v>0</v>
      </c>
      <c r="CC64" t="str">
        <v>Program</v>
      </c>
      <c r="CD64" t="str">
        <v>Main PMB Website</v>
      </c>
      <c r="CE64" t="str">
        <v>Yes</v>
      </c>
      <c r="CV64" t="str">
        <v>Program</v>
      </c>
      <c r="DG64" t="str">
        <v>Program</v>
      </c>
      <c r="DV64" t="str">
        <v>Core PMB Website</v>
      </c>
      <c r="DW64" t="str">
        <v>Yes</v>
      </c>
      <c r="EA64" t="str">
        <v>P1 - Critical</v>
      </c>
    </row>
    <row r="65" spans="1:131">
      <c r="A65" t="str">
        <v>https://pmb.widyatama.ac.id/program-studi/japanese-for-business-and-tourism-d3/</v>
      </c>
      <c r="B65" t="str">
        <v>text/html; charset=UTF-8</v>
      </c>
      <c r="C65">
        <v>200</v>
      </c>
      <c r="D65">
        <v>0</v>
      </c>
      <c r="E65" t="str">
        <v>Indexable</v>
      </c>
      <c r="F65">
        <v>0</v>
      </c>
      <c r="G65" t="str">
        <v>Bahasa Jepang D3 - PMB UTama</v>
      </c>
      <c r="H65">
        <v>28</v>
      </c>
      <c r="I65">
        <v>296</v>
      </c>
      <c r="J65">
        <v>0</v>
      </c>
      <c r="K65">
        <v>0</v>
      </c>
      <c r="L65">
        <v>0</v>
      </c>
      <c r="M65">
        <v>0</v>
      </c>
      <c r="N65">
        <v>0</v>
      </c>
      <c r="O65" t="str">
        <v>Fluent in Japanese as an Industrial Translator &amp; Interpreter</v>
      </c>
      <c r="P65">
        <v>60</v>
      </c>
      <c r="Q65">
        <v>0</v>
      </c>
      <c r="R65">
        <v>0</v>
      </c>
      <c r="S65" t="str">
        <v>Fakultas Ilmu Budaya</v>
      </c>
      <c r="T65">
        <v>20</v>
      </c>
      <c r="U65" t="str">
        <v>Japanese for Business Management D3</v>
      </c>
      <c r="V65">
        <v>35</v>
      </c>
      <c r="W65" t="str">
        <v>index, follow, max-image-preview:large, max-snippet:-1, max-video-preview:-1</v>
      </c>
      <c r="X65">
        <v>0</v>
      </c>
      <c r="Y65">
        <v>0</v>
      </c>
      <c r="Z65" t="str">
        <v>https://pmb.widyatama.ac.id/program-studi/japanese-for-business-and-tourism-d3/</v>
      </c>
      <c r="AA65">
        <v>0</v>
      </c>
      <c r="AB65">
        <v>0</v>
      </c>
      <c r="AC65">
        <v>0</v>
      </c>
      <c r="AD65">
        <v>0</v>
      </c>
      <c r="AE65">
        <v>0</v>
      </c>
      <c r="AF65">
        <v>159777</v>
      </c>
      <c r="AG65">
        <v>34078</v>
      </c>
      <c r="AH65">
        <v>4627487</v>
      </c>
      <c r="AI65">
        <v>1640467</v>
      </c>
      <c r="AJ65" t="str">
        <v>F</v>
      </c>
      <c r="AK65">
        <v>387</v>
      </c>
      <c r="AL65">
        <v>88</v>
      </c>
      <c r="AM65">
        <v>4398</v>
      </c>
      <c r="AN65">
        <v>8688</v>
      </c>
      <c r="AO65" t="str">
        <v>Very Hard</v>
      </c>
      <c r="AP65">
        <v>2011</v>
      </c>
      <c r="AQ65">
        <v>2</v>
      </c>
      <c r="AR65">
        <v>2</v>
      </c>
      <c r="AS65">
        <v>0</v>
      </c>
      <c r="AT65">
        <v>10</v>
      </c>
      <c r="AU65">
        <v>5</v>
      </c>
      <c r="AV65">
        <v>1</v>
      </c>
      <c r="AW65">
        <v>5750</v>
      </c>
      <c r="AX65">
        <v>113</v>
      </c>
      <c r="AY65">
        <v>29</v>
      </c>
      <c r="AZ65">
        <v>0</v>
      </c>
      <c r="BA65">
        <v>10</v>
      </c>
      <c r="BB65">
        <v>8</v>
      </c>
      <c r="BC65">
        <v>2</v>
      </c>
      <c r="BD65">
        <v>0</v>
      </c>
      <c r="BE65">
        <v>0</v>
      </c>
      <c r="BF65">
        <v>0</v>
      </c>
      <c r="BG65">
        <v>0</v>
      </c>
      <c r="BH65" t="str">
        <v>77a0cd5788c0b46163c561ce5fd40ea9</v>
      </c>
      <c r="BI65">
        <v>2714</v>
      </c>
      <c r="BJ65" t="str">
        <v>Saturday, 15-Aug-2026 10:04:09 GMT</v>
      </c>
      <c r="BK65">
        <v>0</v>
      </c>
      <c r="BL65">
        <v>0</v>
      </c>
      <c r="BM65">
        <v>0</v>
      </c>
      <c r="BN65" t="str">
        <v>en-US</v>
      </c>
      <c r="BO65" t="str">
        <v>None</v>
      </c>
      <c r="BP65">
        <v>0</v>
      </c>
      <c r="BQ65" t="str">
        <v>https://pmb.widyatama.ac.id/program-studi/japanese-for-business-and-tourism-d3/</v>
      </c>
      <c r="BR65">
        <v>46249.711180555554</v>
      </c>
      <c r="BZ65" t="str">
        <v>https://pmb.widyatama.ac.id/program-studi/japanese-for-business-and-tourism-d3/</v>
      </c>
      <c r="CA65" t="str">
        <v>Indexable</v>
      </c>
      <c r="CB65">
        <v>0</v>
      </c>
      <c r="CC65" t="str">
        <v>Program</v>
      </c>
      <c r="CD65" t="str">
        <v>Main PMB Website</v>
      </c>
      <c r="CE65" t="str">
        <v>Yes</v>
      </c>
      <c r="CV65" t="str">
        <v>Program</v>
      </c>
      <c r="DG65" t="str">
        <v>Program</v>
      </c>
      <c r="DV65" t="str">
        <v>Core PMB Website</v>
      </c>
      <c r="DW65" t="str">
        <v>Yes</v>
      </c>
      <c r="EA65" t="str">
        <v>P1 - Critical</v>
      </c>
    </row>
    <row r="66" spans="1:131">
      <c r="A66" t="str">
        <v>https://pmb.widyatama.ac.id/program-studi/teknik-sipil-s1/</v>
      </c>
      <c r="B66" t="str">
        <v>text/html; charset=UTF-8</v>
      </c>
      <c r="C66">
        <v>200</v>
      </c>
      <c r="D66">
        <v>0</v>
      </c>
      <c r="E66" t="str">
        <v>Indexable</v>
      </c>
      <c r="F66">
        <v>0</v>
      </c>
      <c r="G66" t="str">
        <v>Teknik Sipil S1 - PMB UTama</v>
      </c>
      <c r="H66">
        <v>27</v>
      </c>
      <c r="I66">
        <v>258</v>
      </c>
      <c r="J66">
        <v>0</v>
      </c>
      <c r="K66">
        <v>0</v>
      </c>
      <c r="L66">
        <v>0</v>
      </c>
      <c r="M66">
        <v>0</v>
      </c>
      <c r="N66">
        <v>0</v>
      </c>
      <c r="O66" t="str">
        <v>Infrastructure and Innovation for Resilient Society</v>
      </c>
      <c r="P66">
        <v>51</v>
      </c>
      <c r="Q66">
        <v>0</v>
      </c>
      <c r="R66">
        <v>0</v>
      </c>
      <c r="S66" t="str">
        <v>Fakultas Teknik</v>
      </c>
      <c r="T66">
        <v>15</v>
      </c>
      <c r="U66" t="str">
        <v>Teknik Sipil S1</v>
      </c>
      <c r="V66">
        <v>15</v>
      </c>
      <c r="W66" t="str">
        <v>index, follow, max-image-preview:large, max-snippet:-1, max-video-preview:-1</v>
      </c>
      <c r="X66">
        <v>0</v>
      </c>
      <c r="Y66">
        <v>0</v>
      </c>
      <c r="Z66" t="str">
        <v>https://pmb.widyatama.ac.id/program-studi/teknik-sipil-s1/</v>
      </c>
      <c r="AA66">
        <v>0</v>
      </c>
      <c r="AB66">
        <v>0</v>
      </c>
      <c r="AC66">
        <v>0</v>
      </c>
      <c r="AD66">
        <v>0</v>
      </c>
      <c r="AE66">
        <v>0</v>
      </c>
      <c r="AF66">
        <v>157971</v>
      </c>
      <c r="AG66">
        <v>33973</v>
      </c>
      <c r="AH66">
        <v>4118886</v>
      </c>
      <c r="AI66">
        <v>1460166</v>
      </c>
      <c r="AJ66" t="str">
        <v>F</v>
      </c>
      <c r="AK66">
        <v>393</v>
      </c>
      <c r="AL66">
        <v>95</v>
      </c>
      <c r="AM66">
        <v>4137</v>
      </c>
      <c r="AN66" t="str">
        <v>0.000</v>
      </c>
      <c r="AO66" t="str">
        <v>Very Hard</v>
      </c>
      <c r="AP66">
        <v>2082</v>
      </c>
      <c r="AQ66">
        <v>2</v>
      </c>
      <c r="AR66">
        <v>2</v>
      </c>
      <c r="AS66">
        <v>0</v>
      </c>
      <c r="AT66">
        <v>12</v>
      </c>
      <c r="AU66">
        <v>6</v>
      </c>
      <c r="AV66">
        <v>1</v>
      </c>
      <c r="AW66">
        <v>6900</v>
      </c>
      <c r="AX66">
        <v>113</v>
      </c>
      <c r="AY66">
        <v>29</v>
      </c>
      <c r="AZ66">
        <v>0</v>
      </c>
      <c r="BA66">
        <v>10</v>
      </c>
      <c r="BB66">
        <v>8</v>
      </c>
      <c r="BC66">
        <v>2</v>
      </c>
      <c r="BD66">
        <v>0</v>
      </c>
      <c r="BE66">
        <v>0</v>
      </c>
      <c r="BF66">
        <v>0</v>
      </c>
      <c r="BG66">
        <v>0</v>
      </c>
      <c r="BH66" t="str">
        <v>2bd6a2472655e9273756f2629240a369</v>
      </c>
      <c r="BI66" t="str">
        <v>0.082</v>
      </c>
      <c r="BJ66" t="str">
        <v>Saturday, 15-Aug-2026 10:04:09 GMT</v>
      </c>
      <c r="BK66">
        <v>0</v>
      </c>
      <c r="BL66">
        <v>0</v>
      </c>
      <c r="BM66">
        <v>0</v>
      </c>
      <c r="BN66" t="str">
        <v>en-US</v>
      </c>
      <c r="BO66" t="str">
        <v>None</v>
      </c>
      <c r="BP66">
        <v>0</v>
      </c>
      <c r="BQ66" t="str">
        <v>https://pmb.widyatama.ac.id/program-studi/teknik-sipil-s1/</v>
      </c>
      <c r="BR66">
        <v>46249.7112037037</v>
      </c>
      <c r="BZ66" t="str">
        <v>https://pmb.widyatama.ac.id/program-studi/teknik-sipil-s1/</v>
      </c>
      <c r="CA66" t="str">
        <v>Indexable</v>
      </c>
      <c r="CB66">
        <v>0</v>
      </c>
      <c r="CC66" t="str">
        <v>Program</v>
      </c>
      <c r="CD66" t="str">
        <v>Main PMB Website</v>
      </c>
      <c r="CE66" t="str">
        <v>Yes</v>
      </c>
      <c r="CV66" t="str">
        <v>Program</v>
      </c>
      <c r="DG66" t="str">
        <v>Program</v>
      </c>
      <c r="DV66" t="str">
        <v>Core PMB Website</v>
      </c>
      <c r="DW66" t="str">
        <v>Yes</v>
      </c>
      <c r="EA66" t="str">
        <v>P1 - Critical</v>
      </c>
    </row>
    <row r="67" spans="1:131">
      <c r="A67" t="str">
        <v>https://pmb.widyatama.ac.id/program-studi/manajemen-sumber-daya-manusia-s1/</v>
      </c>
      <c r="B67" t="str">
        <v>text/html; charset=UTF-8</v>
      </c>
      <c r="C67">
        <v>200</v>
      </c>
      <c r="D67">
        <v>0</v>
      </c>
      <c r="E67" t="str">
        <v>Indexable</v>
      </c>
      <c r="F67">
        <v>0</v>
      </c>
      <c r="G67" t="str">
        <v>Manajemen Sumber Daya Manusia S1 - PMB UTama</v>
      </c>
      <c r="H67">
        <v>44</v>
      </c>
      <c r="I67">
        <v>467</v>
      </c>
      <c r="J67">
        <v>0</v>
      </c>
      <c r="K67">
        <v>0</v>
      </c>
      <c r="L67">
        <v>0</v>
      </c>
      <c r="M67">
        <v>0</v>
      </c>
      <c r="N67">
        <v>0</v>
      </c>
      <c r="O67" t="str">
        <v>Human Capital Management</v>
      </c>
      <c r="P67">
        <v>24</v>
      </c>
      <c r="Q67">
        <v>0</v>
      </c>
      <c r="R67">
        <v>0</v>
      </c>
      <c r="S67" t="str">
        <v>Fakultas Ekonomi Bisnis</v>
      </c>
      <c r="T67">
        <v>23</v>
      </c>
      <c r="U67" t="str">
        <v>Manajemen Sumber Daya Manusia S1</v>
      </c>
      <c r="V67">
        <v>32</v>
      </c>
      <c r="W67" t="str">
        <v>index, follow, max-image-preview:large, max-snippet:-1, max-video-preview:-1</v>
      </c>
      <c r="X67">
        <v>0</v>
      </c>
      <c r="Y67">
        <v>0</v>
      </c>
      <c r="Z67" t="str">
        <v>https://pmb.widyatama.ac.id/program-studi/manajemen-sumber-daya-manusia-s1/</v>
      </c>
      <c r="AA67">
        <v>0</v>
      </c>
      <c r="AB67">
        <v>0</v>
      </c>
      <c r="AC67">
        <v>0</v>
      </c>
      <c r="AD67">
        <v>0</v>
      </c>
      <c r="AE67">
        <v>0</v>
      </c>
      <c r="AF67">
        <v>161612</v>
      </c>
      <c r="AG67">
        <v>34220</v>
      </c>
      <c r="AH67">
        <v>4778306</v>
      </c>
      <c r="AI67">
        <v>1693933</v>
      </c>
      <c r="AJ67" t="str">
        <v>F</v>
      </c>
      <c r="AK67">
        <v>416</v>
      </c>
      <c r="AL67">
        <v>105</v>
      </c>
      <c r="AM67">
        <v>3962</v>
      </c>
      <c r="AN67" t="str">
        <v>0.000</v>
      </c>
      <c r="AO67" t="str">
        <v>Very Hard</v>
      </c>
      <c r="AP67">
        <v>2167</v>
      </c>
      <c r="AQ67">
        <v>2</v>
      </c>
      <c r="AR67">
        <v>2</v>
      </c>
      <c r="AS67">
        <v>0</v>
      </c>
      <c r="AT67">
        <v>12</v>
      </c>
      <c r="AU67">
        <v>6</v>
      </c>
      <c r="AV67">
        <v>1</v>
      </c>
      <c r="AW67">
        <v>6900</v>
      </c>
      <c r="AX67">
        <v>113</v>
      </c>
      <c r="AY67">
        <v>29</v>
      </c>
      <c r="AZ67">
        <v>0</v>
      </c>
      <c r="BA67">
        <v>10</v>
      </c>
      <c r="BB67">
        <v>8</v>
      </c>
      <c r="BC67">
        <v>2</v>
      </c>
      <c r="BD67">
        <v>0</v>
      </c>
      <c r="BE67">
        <v>0</v>
      </c>
      <c r="BF67">
        <v>0</v>
      </c>
      <c r="BG67">
        <v>0</v>
      </c>
      <c r="BH67" t="str">
        <v>8a6329cc25dd08b4985f9082b19bb713</v>
      </c>
      <c r="BI67" t="str">
        <v>0.132</v>
      </c>
      <c r="BJ67" t="str">
        <v>Saturday, 15-Aug-2026 10:04:13 GMT</v>
      </c>
      <c r="BK67">
        <v>0</v>
      </c>
      <c r="BL67">
        <v>0</v>
      </c>
      <c r="BM67">
        <v>0</v>
      </c>
      <c r="BN67" t="str">
        <v>en-US</v>
      </c>
      <c r="BO67" t="str">
        <v>None</v>
      </c>
      <c r="BP67">
        <v>0</v>
      </c>
      <c r="BQ67" t="str">
        <v>https://pmb.widyatama.ac.id/program-studi/manajemen-sumber-daya-manusia-s1/</v>
      </c>
      <c r="BR67">
        <v>46249.71125</v>
      </c>
      <c r="BZ67" t="str">
        <v>https://pmb.widyatama.ac.id/program-studi/manajemen-sumber-daya-manusia-s1/</v>
      </c>
      <c r="CA67" t="str">
        <v>Indexable</v>
      </c>
      <c r="CB67">
        <v>0</v>
      </c>
      <c r="CC67" t="str">
        <v>Program</v>
      </c>
      <c r="CD67" t="str">
        <v>Main PMB Website</v>
      </c>
      <c r="CE67" t="str">
        <v>Yes</v>
      </c>
      <c r="CV67" t="str">
        <v>Program</v>
      </c>
      <c r="DG67" t="str">
        <v>Program</v>
      </c>
      <c r="DV67" t="str">
        <v>Core PMB Website</v>
      </c>
      <c r="DW67" t="str">
        <v>Yes</v>
      </c>
      <c r="EA67" t="str">
        <v>P1 - Critical</v>
      </c>
    </row>
    <row r="68" spans="1:131">
      <c r="A68" t="str">
        <v>https://pmb.widyatama.ac.id/program-studi/manajemen-operasional-s1/</v>
      </c>
      <c r="B68" t="str">
        <v>text/html; charset=UTF-8</v>
      </c>
      <c r="C68">
        <v>200</v>
      </c>
      <c r="D68">
        <v>0</v>
      </c>
      <c r="E68" t="str">
        <v>Indexable</v>
      </c>
      <c r="F68">
        <v>0</v>
      </c>
      <c r="G68" t="str">
        <v>Manajemen Operasional S1 - PMB UTama</v>
      </c>
      <c r="H68">
        <v>36</v>
      </c>
      <c r="I68">
        <v>373</v>
      </c>
      <c r="J68">
        <v>0</v>
      </c>
      <c r="K68">
        <v>0</v>
      </c>
      <c r="L68">
        <v>0</v>
      </c>
      <c r="M68">
        <v>0</v>
      </c>
      <c r="N68">
        <v>0</v>
      </c>
      <c r="O68" t="str">
        <v>Operations Management</v>
      </c>
      <c r="P68">
        <v>21</v>
      </c>
      <c r="Q68">
        <v>0</v>
      </c>
      <c r="R68">
        <v>0</v>
      </c>
      <c r="S68" t="str">
        <v>Fakultas Ekonomi Bisnis</v>
      </c>
      <c r="T68">
        <v>23</v>
      </c>
      <c r="U68" t="str">
        <v>Manajemen Operasional S1</v>
      </c>
      <c r="V68">
        <v>24</v>
      </c>
      <c r="W68" t="str">
        <v>index, follow, max-image-preview:large, max-snippet:-1, max-video-preview:-1</v>
      </c>
      <c r="X68">
        <v>0</v>
      </c>
      <c r="Y68">
        <v>0</v>
      </c>
      <c r="Z68" t="str">
        <v>https://pmb.widyatama.ac.id/program-studi/manajemen-operasional-s1/</v>
      </c>
      <c r="AA68">
        <v>0</v>
      </c>
      <c r="AB68">
        <v>0</v>
      </c>
      <c r="AC68">
        <v>0</v>
      </c>
      <c r="AD68">
        <v>0</v>
      </c>
      <c r="AE68">
        <v>0</v>
      </c>
      <c r="AF68">
        <v>157786</v>
      </c>
      <c r="AG68">
        <v>33843</v>
      </c>
      <c r="AH68">
        <v>4467750</v>
      </c>
      <c r="AI68">
        <v>1583840</v>
      </c>
      <c r="AJ68" t="str">
        <v>F</v>
      </c>
      <c r="AK68">
        <v>331</v>
      </c>
      <c r="AL68">
        <v>92</v>
      </c>
      <c r="AM68">
        <v>3598</v>
      </c>
      <c r="AN68" t="str">
        <v>0.000</v>
      </c>
      <c r="AO68" t="str">
        <v>Very Hard</v>
      </c>
      <c r="AP68">
        <v>1931</v>
      </c>
      <c r="AQ68">
        <v>2</v>
      </c>
      <c r="AR68">
        <v>2</v>
      </c>
      <c r="AS68">
        <v>0</v>
      </c>
      <c r="AT68">
        <v>12</v>
      </c>
      <c r="AU68">
        <v>6</v>
      </c>
      <c r="AV68">
        <v>1</v>
      </c>
      <c r="AW68">
        <v>6900</v>
      </c>
      <c r="AX68">
        <v>113</v>
      </c>
      <c r="AY68">
        <v>29</v>
      </c>
      <c r="AZ68">
        <v>0</v>
      </c>
      <c r="BA68">
        <v>10</v>
      </c>
      <c r="BB68">
        <v>8</v>
      </c>
      <c r="BC68">
        <v>2</v>
      </c>
      <c r="BD68">
        <v>0</v>
      </c>
      <c r="BE68">
        <v>0</v>
      </c>
      <c r="BF68">
        <v>0</v>
      </c>
      <c r="BG68">
        <v>0</v>
      </c>
      <c r="BH68" t="str">
        <v>411b241434918f0e9cd194202648df00</v>
      </c>
      <c r="BI68" t="str">
        <v>0.092</v>
      </c>
      <c r="BJ68" t="str">
        <v>Saturday, 15-Aug-2026 10:04:22 GMT</v>
      </c>
      <c r="BK68">
        <v>0</v>
      </c>
      <c r="BL68">
        <v>0</v>
      </c>
      <c r="BM68">
        <v>0</v>
      </c>
      <c r="BN68" t="str">
        <v>en-US</v>
      </c>
      <c r="BO68" t="str">
        <v>None</v>
      </c>
      <c r="BP68">
        <v>0</v>
      </c>
      <c r="BQ68" t="str">
        <v>https://pmb.widyatama.ac.id/program-studi/manajemen-operasional-s1/</v>
      </c>
      <c r="BR68">
        <v>46249.711354166669</v>
      </c>
      <c r="BZ68" t="str">
        <v>https://pmb.widyatama.ac.id/program-studi/manajemen-operasional-s1/</v>
      </c>
      <c r="CA68" t="str">
        <v>Indexable</v>
      </c>
      <c r="CB68">
        <v>0</v>
      </c>
      <c r="CC68" t="str">
        <v>Program</v>
      </c>
      <c r="CD68" t="str">
        <v>Main PMB Website</v>
      </c>
      <c r="CE68" t="str">
        <v>Yes</v>
      </c>
      <c r="CV68" t="str">
        <v>Program</v>
      </c>
      <c r="DG68" t="str">
        <v>Program</v>
      </c>
      <c r="DV68" t="str">
        <v>Core PMB Website</v>
      </c>
      <c r="DW68" t="str">
        <v>Yes</v>
      </c>
      <c r="EA68" t="str">
        <v>P1 - Critical</v>
      </c>
    </row>
    <row r="69" spans="1:131">
      <c r="A69" t="str">
        <v>https://pmb.widyatama.ac.id/program-studi/manajemen-kewirausahaan-s1/</v>
      </c>
      <c r="B69" t="str">
        <v>text/html; charset=UTF-8</v>
      </c>
      <c r="C69">
        <v>200</v>
      </c>
      <c r="D69">
        <v>0</v>
      </c>
      <c r="E69" t="str">
        <v>Indexable</v>
      </c>
      <c r="F69">
        <v>0</v>
      </c>
      <c r="G69" t="str">
        <v>Manajemen Kewirausahaan S1 - PMB UTama</v>
      </c>
      <c r="H69">
        <v>38</v>
      </c>
      <c r="I69">
        <v>405</v>
      </c>
      <c r="J69">
        <v>0</v>
      </c>
      <c r="K69">
        <v>0</v>
      </c>
      <c r="L69">
        <v>0</v>
      </c>
      <c r="M69">
        <v>0</v>
      </c>
      <c r="N69">
        <v>0</v>
      </c>
      <c r="O69" t="str">
        <v>Entrepreneurship Management</v>
      </c>
      <c r="P69">
        <v>27</v>
      </c>
      <c r="Q69">
        <v>0</v>
      </c>
      <c r="R69">
        <v>0</v>
      </c>
      <c r="S69" t="str">
        <v>Fakultas Ekonomi Bisnis</v>
      </c>
      <c r="T69">
        <v>23</v>
      </c>
      <c r="U69" t="str">
        <v>Manajemen Kewirausahaan S1</v>
      </c>
      <c r="V69">
        <v>26</v>
      </c>
      <c r="W69" t="str">
        <v>index, follow, max-image-preview:large, max-snippet:-1, max-video-preview:-1</v>
      </c>
      <c r="X69">
        <v>0</v>
      </c>
      <c r="Y69">
        <v>0</v>
      </c>
      <c r="Z69" t="str">
        <v>https://pmb.widyatama.ac.id/program-studi/manajemen-kewirausahaan-s1/</v>
      </c>
      <c r="AA69">
        <v>0</v>
      </c>
      <c r="AB69">
        <v>0</v>
      </c>
      <c r="AC69">
        <v>0</v>
      </c>
      <c r="AD69">
        <v>0</v>
      </c>
      <c r="AE69">
        <v>0</v>
      </c>
      <c r="AF69">
        <v>158060</v>
      </c>
      <c r="AG69">
        <v>33956</v>
      </c>
      <c r="AH69">
        <v>3923171</v>
      </c>
      <c r="AI69">
        <v>1390784</v>
      </c>
      <c r="AJ69" t="str">
        <v>F</v>
      </c>
      <c r="AK69">
        <v>347</v>
      </c>
      <c r="AL69">
        <v>92</v>
      </c>
      <c r="AM69">
        <v>3772</v>
      </c>
      <c r="AN69" t="str">
        <v>0.000</v>
      </c>
      <c r="AO69" t="str">
        <v>Very Hard</v>
      </c>
      <c r="AP69">
        <v>1946</v>
      </c>
      <c r="AQ69">
        <v>2</v>
      </c>
      <c r="AR69">
        <v>2</v>
      </c>
      <c r="AS69">
        <v>0</v>
      </c>
      <c r="AT69">
        <v>12</v>
      </c>
      <c r="AU69">
        <v>6</v>
      </c>
      <c r="AV69">
        <v>1</v>
      </c>
      <c r="AW69">
        <v>6900</v>
      </c>
      <c r="AX69">
        <v>113</v>
      </c>
      <c r="AY69">
        <v>29</v>
      </c>
      <c r="AZ69">
        <v>0</v>
      </c>
      <c r="BA69">
        <v>10</v>
      </c>
      <c r="BB69">
        <v>8</v>
      </c>
      <c r="BC69">
        <v>2</v>
      </c>
      <c r="BD69">
        <v>0</v>
      </c>
      <c r="BE69">
        <v>0</v>
      </c>
      <c r="BF69">
        <v>0</v>
      </c>
      <c r="BG69">
        <v>0</v>
      </c>
      <c r="BH69" t="str">
        <v>9405b777056457009722ab84906ad4e2</v>
      </c>
      <c r="BI69" t="str">
        <v>0.078</v>
      </c>
      <c r="BJ69" t="str">
        <v>Saturday, 15-Aug-2026 10:04:22 GMT</v>
      </c>
      <c r="BK69">
        <v>0</v>
      </c>
      <c r="BL69">
        <v>0</v>
      </c>
      <c r="BM69">
        <v>0</v>
      </c>
      <c r="BN69" t="str">
        <v>en-US</v>
      </c>
      <c r="BO69" t="str">
        <v>None</v>
      </c>
      <c r="BP69">
        <v>0</v>
      </c>
      <c r="BQ69" t="str">
        <v>https://pmb.widyatama.ac.id/program-studi/manajemen-kewirausahaan-s1/</v>
      </c>
      <c r="BR69">
        <v>46249.711354166669</v>
      </c>
      <c r="BZ69" t="str">
        <v>https://pmb.widyatama.ac.id/program-studi/manajemen-kewirausahaan-s1/</v>
      </c>
      <c r="CA69" t="str">
        <v>Indexable</v>
      </c>
      <c r="CB69">
        <v>0</v>
      </c>
      <c r="CC69" t="str">
        <v>Program</v>
      </c>
      <c r="CD69" t="str">
        <v>Main PMB Website</v>
      </c>
      <c r="CE69" t="str">
        <v>Yes</v>
      </c>
      <c r="CV69" t="str">
        <v>Program</v>
      </c>
      <c r="DG69" t="str">
        <v>Program</v>
      </c>
      <c r="DV69" t="str">
        <v>Core PMB Website</v>
      </c>
      <c r="DW69" t="str">
        <v>Yes</v>
      </c>
      <c r="EA69" t="str">
        <v>P1 - Critical</v>
      </c>
    </row>
    <row r="70" spans="1:131">
      <c r="A70" t="str">
        <v>https://pmb.widyatama.ac.id/program-studi/teknik-industri-s1/</v>
      </c>
      <c r="B70" t="str">
        <v>text/html; charset=UTF-8</v>
      </c>
      <c r="C70">
        <v>200</v>
      </c>
      <c r="D70">
        <v>0</v>
      </c>
      <c r="E70" t="str">
        <v>Indexable</v>
      </c>
      <c r="F70">
        <v>0</v>
      </c>
      <c r="G70" t="str">
        <v>Teknik Industri S1 - PMB UTama</v>
      </c>
      <c r="H70">
        <v>30</v>
      </c>
      <c r="I70">
        <v>287</v>
      </c>
      <c r="J70">
        <v>0</v>
      </c>
      <c r="K70">
        <v>0</v>
      </c>
      <c r="L70">
        <v>0</v>
      </c>
      <c r="M70">
        <v>0</v>
      </c>
      <c r="N70">
        <v>0</v>
      </c>
      <c r="O70" t="str">
        <v>Industrial Engineering &amp; Sustainable Innovation</v>
      </c>
      <c r="P70">
        <v>47</v>
      </c>
      <c r="Q70">
        <v>0</v>
      </c>
      <c r="R70">
        <v>0</v>
      </c>
      <c r="S70" t="str">
        <v>Fakultas Teknik</v>
      </c>
      <c r="T70">
        <v>15</v>
      </c>
      <c r="U70" t="str">
        <v>Teknik Industri S1</v>
      </c>
      <c r="V70">
        <v>18</v>
      </c>
      <c r="W70" t="str">
        <v>index, follow, max-image-preview:large, max-snippet:-1, max-video-preview:-1</v>
      </c>
      <c r="X70">
        <v>0</v>
      </c>
      <c r="Y70">
        <v>0</v>
      </c>
      <c r="Z70" t="str">
        <v>https://pmb.widyatama.ac.id/program-studi/teknik-industri-s1/</v>
      </c>
      <c r="AA70">
        <v>0</v>
      </c>
      <c r="AB70">
        <v>0</v>
      </c>
      <c r="AC70">
        <v>0</v>
      </c>
      <c r="AD70">
        <v>0</v>
      </c>
      <c r="AE70">
        <v>0</v>
      </c>
      <c r="AF70">
        <v>161061</v>
      </c>
      <c r="AG70">
        <v>33899</v>
      </c>
      <c r="AH70">
        <v>4542551</v>
      </c>
      <c r="AI70">
        <v>1610357</v>
      </c>
      <c r="AJ70" t="str">
        <v>F</v>
      </c>
      <c r="AK70">
        <v>325</v>
      </c>
      <c r="AL70">
        <v>89</v>
      </c>
      <c r="AM70">
        <v>3652</v>
      </c>
      <c r="AN70">
        <v>6857</v>
      </c>
      <c r="AO70" t="str">
        <v>Very Hard</v>
      </c>
      <c r="AP70">
        <v>1835</v>
      </c>
      <c r="AQ70">
        <v>2</v>
      </c>
      <c r="AR70">
        <v>2</v>
      </c>
      <c r="AS70">
        <v>0</v>
      </c>
      <c r="AT70">
        <v>12</v>
      </c>
      <c r="AU70">
        <v>6</v>
      </c>
      <c r="AV70">
        <v>1</v>
      </c>
      <c r="AW70">
        <v>6900</v>
      </c>
      <c r="AX70">
        <v>113</v>
      </c>
      <c r="AY70">
        <v>29</v>
      </c>
      <c r="AZ70">
        <v>0</v>
      </c>
      <c r="BA70">
        <v>10</v>
      </c>
      <c r="BB70">
        <v>8</v>
      </c>
      <c r="BC70">
        <v>2</v>
      </c>
      <c r="BD70">
        <v>0</v>
      </c>
      <c r="BE70">
        <v>0</v>
      </c>
      <c r="BF70">
        <v>0</v>
      </c>
      <c r="BG70">
        <v>0</v>
      </c>
      <c r="BH70" t="str">
        <v>61922efa29009b4962ee39a2057f6014</v>
      </c>
      <c r="BI70" t="str">
        <v>0.458</v>
      </c>
      <c r="BJ70" t="str">
        <v>Saturday, 15-Aug-2026 10:04:13 GMT</v>
      </c>
      <c r="BK70">
        <v>0</v>
      </c>
      <c r="BL70">
        <v>0</v>
      </c>
      <c r="BM70">
        <v>0</v>
      </c>
      <c r="BN70" t="str">
        <v>en-US</v>
      </c>
      <c r="BO70" t="str">
        <v>None</v>
      </c>
      <c r="BP70">
        <v>0</v>
      </c>
      <c r="BQ70" t="str">
        <v>https://pmb.widyatama.ac.id/program-studi/teknik-industri-s1/</v>
      </c>
      <c r="BR70">
        <v>46249.71125</v>
      </c>
      <c r="BZ70" t="str">
        <v>https://pmb.widyatama.ac.id/program-studi/teknik-industri-s1/</v>
      </c>
      <c r="CA70" t="str">
        <v>Indexable</v>
      </c>
      <c r="CB70">
        <v>0</v>
      </c>
      <c r="CC70" t="str">
        <v>Program</v>
      </c>
      <c r="CD70" t="str">
        <v>Main PMB Website</v>
      </c>
      <c r="CE70" t="str">
        <v>Yes</v>
      </c>
      <c r="CV70" t="str">
        <v>Program</v>
      </c>
      <c r="DG70" t="str">
        <v>Program</v>
      </c>
      <c r="DV70" t="str">
        <v>Core PMB Website</v>
      </c>
      <c r="DW70" t="str">
        <v>Yes</v>
      </c>
      <c r="EA70" t="str">
        <v>P1 - Critical</v>
      </c>
    </row>
    <row r="71" spans="1:131">
      <c r="A71" t="str">
        <v>https://pmb.widyatama.ac.id/program-studi/manajemen-keuangan-s1/</v>
      </c>
      <c r="B71" t="str">
        <v>text/html; charset=UTF-8</v>
      </c>
      <c r="C71">
        <v>200</v>
      </c>
      <c r="D71">
        <v>0</v>
      </c>
      <c r="E71" t="str">
        <v>Indexable</v>
      </c>
      <c r="F71">
        <v>0</v>
      </c>
      <c r="G71" t="str">
        <v>Manajemen Keuangan S1 - PMB UTama</v>
      </c>
      <c r="H71">
        <v>33</v>
      </c>
      <c r="I71">
        <v>357</v>
      </c>
      <c r="J71">
        <v>0</v>
      </c>
      <c r="K71">
        <v>0</v>
      </c>
      <c r="L71">
        <v>0</v>
      </c>
      <c r="M71">
        <v>0</v>
      </c>
      <c r="N71">
        <v>0</v>
      </c>
      <c r="O71" t="str">
        <v>Digital Finance Management</v>
      </c>
      <c r="P71">
        <v>26</v>
      </c>
      <c r="Q71">
        <v>0</v>
      </c>
      <c r="R71">
        <v>0</v>
      </c>
      <c r="S71" t="str">
        <v>Fakultas Ekonomi Bisnis</v>
      </c>
      <c r="T71">
        <v>23</v>
      </c>
      <c r="U71" t="str">
        <v>Manajemen Keuangan S1</v>
      </c>
      <c r="V71">
        <v>21</v>
      </c>
      <c r="W71" t="str">
        <v>index, follow, max-image-preview:large, max-snippet:-1, max-video-preview:-1</v>
      </c>
      <c r="X71">
        <v>0</v>
      </c>
      <c r="Y71">
        <v>0</v>
      </c>
      <c r="Z71" t="str">
        <v>https://pmb.widyatama.ac.id/program-studi/manajemen-keuangan-s1/</v>
      </c>
      <c r="AA71">
        <v>0</v>
      </c>
      <c r="AB71">
        <v>0</v>
      </c>
      <c r="AC71">
        <v>0</v>
      </c>
      <c r="AD71">
        <v>0</v>
      </c>
      <c r="AE71">
        <v>0</v>
      </c>
      <c r="AF71">
        <v>161342</v>
      </c>
      <c r="AG71">
        <v>34272</v>
      </c>
      <c r="AH71">
        <v>3830653</v>
      </c>
      <c r="AI71">
        <v>1357986</v>
      </c>
      <c r="AJ71" t="str">
        <v>F</v>
      </c>
      <c r="AK71">
        <v>418</v>
      </c>
      <c r="AL71">
        <v>108</v>
      </c>
      <c r="AM71">
        <v>3870</v>
      </c>
      <c r="AN71" t="str">
        <v>0.000</v>
      </c>
      <c r="AO71" t="str">
        <v>Very Hard</v>
      </c>
      <c r="AP71">
        <v>2175</v>
      </c>
      <c r="AQ71">
        <v>2</v>
      </c>
      <c r="AR71">
        <v>2</v>
      </c>
      <c r="AS71">
        <v>0</v>
      </c>
      <c r="AT71">
        <v>12</v>
      </c>
      <c r="AU71">
        <v>6</v>
      </c>
      <c r="AV71">
        <v>1</v>
      </c>
      <c r="AW71">
        <v>6900</v>
      </c>
      <c r="AX71">
        <v>113</v>
      </c>
      <c r="AY71">
        <v>29</v>
      </c>
      <c r="AZ71">
        <v>0</v>
      </c>
      <c r="BA71">
        <v>10</v>
      </c>
      <c r="BB71">
        <v>8</v>
      </c>
      <c r="BC71">
        <v>2</v>
      </c>
      <c r="BD71">
        <v>0</v>
      </c>
      <c r="BE71">
        <v>0</v>
      </c>
      <c r="BF71">
        <v>0</v>
      </c>
      <c r="BG71">
        <v>0</v>
      </c>
      <c r="BH71" t="str">
        <v>6d2680b7e38ca2f8069f965f8ecdb71a</v>
      </c>
      <c r="BI71">
        <v>2650</v>
      </c>
      <c r="BJ71" t="str">
        <v>Saturday, 15-Aug-2026 10:04:23 GMT</v>
      </c>
      <c r="BK71">
        <v>0</v>
      </c>
      <c r="BL71">
        <v>0</v>
      </c>
      <c r="BM71">
        <v>0</v>
      </c>
      <c r="BN71" t="str">
        <v>en-US</v>
      </c>
      <c r="BO71" t="str">
        <v>None</v>
      </c>
      <c r="BP71">
        <v>0</v>
      </c>
      <c r="BQ71" t="str">
        <v>https://pmb.widyatama.ac.id/program-studi/manajemen-keuangan-s1/</v>
      </c>
      <c r="BR71">
        <v>46249.711342592593</v>
      </c>
      <c r="BZ71" t="str">
        <v>https://pmb.widyatama.ac.id/program-studi/manajemen-keuangan-s1/</v>
      </c>
      <c r="CA71" t="str">
        <v>Indexable</v>
      </c>
      <c r="CB71">
        <v>0</v>
      </c>
      <c r="CC71" t="str">
        <v>Program</v>
      </c>
      <c r="CD71" t="str">
        <v>Main PMB Website</v>
      </c>
      <c r="CE71" t="str">
        <v>Yes</v>
      </c>
      <c r="CV71" t="str">
        <v>Program</v>
      </c>
      <c r="DG71" t="str">
        <v>Program</v>
      </c>
      <c r="DV71" t="str">
        <v>Core PMB Website</v>
      </c>
      <c r="DW71" t="str">
        <v>Yes</v>
      </c>
      <c r="EA71" t="str">
        <v>P1 - Critical</v>
      </c>
    </row>
    <row r="72" spans="1:131">
      <c r="A72" t="str">
        <v>https://pmb.widyatama.ac.id/program-studi/sistem-informasi-s1/</v>
      </c>
      <c r="B72" t="str">
        <v>text/html; charset=UTF-8</v>
      </c>
      <c r="C72">
        <v>200</v>
      </c>
      <c r="D72">
        <v>0</v>
      </c>
      <c r="E72" t="str">
        <v>Indexable</v>
      </c>
      <c r="F72">
        <v>0</v>
      </c>
      <c r="G72" t="str">
        <v>Sistem Informasi S1 - PMB UTama</v>
      </c>
      <c r="H72">
        <v>31</v>
      </c>
      <c r="I72">
        <v>308</v>
      </c>
      <c r="J72">
        <v>0</v>
      </c>
      <c r="K72">
        <v>0</v>
      </c>
      <c r="L72">
        <v>0</v>
      </c>
      <c r="M72">
        <v>0</v>
      </c>
      <c r="N72">
        <v>0</v>
      </c>
      <c r="O72" t="str">
        <v>Information System and Digital Transformation</v>
      </c>
      <c r="P72">
        <v>45</v>
      </c>
      <c r="Q72">
        <v>0</v>
      </c>
      <c r="R72">
        <v>0</v>
      </c>
      <c r="S72" t="str">
        <v>Fakultas Teknik</v>
      </c>
      <c r="T72">
        <v>15</v>
      </c>
      <c r="U72" t="str">
        <v>Sistem Informasi S1</v>
      </c>
      <c r="V72">
        <v>19</v>
      </c>
      <c r="W72" t="str">
        <v>index, follow, max-image-preview:large, max-snippet:-1, max-video-preview:-1</v>
      </c>
      <c r="X72">
        <v>0</v>
      </c>
      <c r="Y72">
        <v>0</v>
      </c>
      <c r="Z72" t="str">
        <v>https://pmb.widyatama.ac.id/program-studi/sistem-informasi-s1/</v>
      </c>
      <c r="AA72">
        <v>0</v>
      </c>
      <c r="AB72">
        <v>0</v>
      </c>
      <c r="AC72">
        <v>0</v>
      </c>
      <c r="AD72">
        <v>0</v>
      </c>
      <c r="AE72">
        <v>0</v>
      </c>
      <c r="AF72">
        <v>162190</v>
      </c>
      <c r="AG72">
        <v>33688</v>
      </c>
      <c r="AH72">
        <v>3660679</v>
      </c>
      <c r="AI72">
        <v>1297729</v>
      </c>
      <c r="AJ72" t="str">
        <v>F</v>
      </c>
      <c r="AK72">
        <v>436</v>
      </c>
      <c r="AL72">
        <v>111</v>
      </c>
      <c r="AM72">
        <v>3928</v>
      </c>
      <c r="AN72" t="str">
        <v>0.000</v>
      </c>
      <c r="AO72" t="str">
        <v>Very Hard</v>
      </c>
      <c r="AP72">
        <v>2176</v>
      </c>
      <c r="AQ72">
        <v>2</v>
      </c>
      <c r="AR72">
        <v>2</v>
      </c>
      <c r="AS72">
        <v>0</v>
      </c>
      <c r="AT72">
        <v>12</v>
      </c>
      <c r="AU72">
        <v>6</v>
      </c>
      <c r="AV72">
        <v>1</v>
      </c>
      <c r="AW72">
        <v>6900</v>
      </c>
      <c r="AX72">
        <v>113</v>
      </c>
      <c r="AY72">
        <v>29</v>
      </c>
      <c r="AZ72">
        <v>0</v>
      </c>
      <c r="BA72">
        <v>10</v>
      </c>
      <c r="BB72">
        <v>8</v>
      </c>
      <c r="BC72">
        <v>2</v>
      </c>
      <c r="BD72">
        <v>0</v>
      </c>
      <c r="BE72">
        <v>0</v>
      </c>
      <c r="BF72">
        <v>0</v>
      </c>
      <c r="BG72">
        <v>0</v>
      </c>
      <c r="BH72" t="str">
        <v>84fc9d398901adee3f6f1e769f300860</v>
      </c>
      <c r="BI72" t="str">
        <v>0.083</v>
      </c>
      <c r="BJ72" t="str">
        <v>Saturday, 15-Aug-2026 10:04:28 GMT</v>
      </c>
      <c r="BK72">
        <v>0</v>
      </c>
      <c r="BL72">
        <v>0</v>
      </c>
      <c r="BM72">
        <v>0</v>
      </c>
      <c r="BN72" t="str">
        <v>en-US</v>
      </c>
      <c r="BO72" t="str">
        <v>2.0</v>
      </c>
      <c r="BP72">
        <v>0</v>
      </c>
      <c r="BQ72" t="str">
        <v>https://pmb.widyatama.ac.id/program-studi/sistem-informasi-s1/</v>
      </c>
      <c r="BR72">
        <v>46249.711423611108</v>
      </c>
      <c r="BZ72" t="str">
        <v>https://pmb.widyatama.ac.id/program-studi/sistem-informasi-s1/</v>
      </c>
      <c r="CA72" t="str">
        <v>Indexable</v>
      </c>
      <c r="CB72">
        <v>0</v>
      </c>
      <c r="CC72" t="str">
        <v>Program</v>
      </c>
      <c r="CD72" t="str">
        <v>Main PMB Website</v>
      </c>
      <c r="CE72" t="str">
        <v>Yes</v>
      </c>
      <c r="CV72" t="str">
        <v>Program</v>
      </c>
      <c r="DG72" t="str">
        <v>Program</v>
      </c>
      <c r="DV72" t="str">
        <v>Core PMB Website</v>
      </c>
      <c r="DW72" t="str">
        <v>Yes</v>
      </c>
      <c r="EA72" t="str">
        <v>P1 - Critical</v>
      </c>
    </row>
    <row r="73" spans="1:131">
      <c r="A73" t="str">
        <v>https://pmb.widyatama.ac.id/program-studi/teknik-informatika-s1/</v>
      </c>
      <c r="B73" t="str">
        <v>text/html; charset=UTF-8</v>
      </c>
      <c r="C73">
        <v>200</v>
      </c>
      <c r="D73">
        <v>0</v>
      </c>
      <c r="E73" t="str">
        <v>Indexable</v>
      </c>
      <c r="F73">
        <v>0</v>
      </c>
      <c r="G73" t="str">
        <v>Teknik Informatika S1 - PMB UTama</v>
      </c>
      <c r="H73">
        <v>33</v>
      </c>
      <c r="I73">
        <v>323</v>
      </c>
      <c r="J73">
        <v>0</v>
      </c>
      <c r="K73">
        <v>0</v>
      </c>
      <c r="L73">
        <v>0</v>
      </c>
      <c r="M73">
        <v>0</v>
      </c>
      <c r="N73">
        <v>0</v>
      </c>
      <c r="O73" t="str">
        <v>Informatics and Cyber Security</v>
      </c>
      <c r="P73">
        <v>30</v>
      </c>
      <c r="Q73">
        <v>0</v>
      </c>
      <c r="R73">
        <v>0</v>
      </c>
      <c r="S73" t="str">
        <v>Fakultas Teknik</v>
      </c>
      <c r="T73">
        <v>15</v>
      </c>
      <c r="U73" t="str">
        <v>Teknik Informatika S1</v>
      </c>
      <c r="V73">
        <v>21</v>
      </c>
      <c r="W73" t="str">
        <v>index, follow, max-image-preview:large, max-snippet:-1, max-video-preview:-1</v>
      </c>
      <c r="X73">
        <v>0</v>
      </c>
      <c r="Y73">
        <v>0</v>
      </c>
      <c r="Z73" t="str">
        <v>https://pmb.widyatama.ac.id/program-studi/teknik-informatika-s1/</v>
      </c>
      <c r="AA73">
        <v>0</v>
      </c>
      <c r="AB73">
        <v>0</v>
      </c>
      <c r="AC73">
        <v>0</v>
      </c>
      <c r="AD73">
        <v>0</v>
      </c>
      <c r="AE73">
        <v>0</v>
      </c>
      <c r="AF73">
        <v>160631</v>
      </c>
      <c r="AG73">
        <v>34562</v>
      </c>
      <c r="AH73">
        <v>3393540</v>
      </c>
      <c r="AI73">
        <v>1203027</v>
      </c>
      <c r="AJ73" t="str">
        <v>F</v>
      </c>
      <c r="AK73">
        <v>560</v>
      </c>
      <c r="AL73">
        <v>141</v>
      </c>
      <c r="AM73">
        <v>3972</v>
      </c>
      <c r="AN73">
        <v>1123</v>
      </c>
      <c r="AO73" t="str">
        <v>Very Hard</v>
      </c>
      <c r="AP73">
        <v>2569</v>
      </c>
      <c r="AQ73">
        <v>2</v>
      </c>
      <c r="AR73">
        <v>2</v>
      </c>
      <c r="AS73">
        <v>0</v>
      </c>
      <c r="AT73">
        <v>12</v>
      </c>
      <c r="AU73">
        <v>6</v>
      </c>
      <c r="AV73">
        <v>1</v>
      </c>
      <c r="AW73">
        <v>6900</v>
      </c>
      <c r="AX73">
        <v>113</v>
      </c>
      <c r="AY73">
        <v>29</v>
      </c>
      <c r="AZ73">
        <v>0</v>
      </c>
      <c r="BA73">
        <v>10</v>
      </c>
      <c r="BB73">
        <v>8</v>
      </c>
      <c r="BC73">
        <v>2</v>
      </c>
      <c r="BD73">
        <v>0</v>
      </c>
      <c r="BE73">
        <v>0</v>
      </c>
      <c r="BF73">
        <v>0</v>
      </c>
      <c r="BG73">
        <v>0</v>
      </c>
      <c r="BH73" t="str">
        <v>2941d15f23ec28d0edf07add91667480</v>
      </c>
      <c r="BI73" t="str">
        <v>0.089</v>
      </c>
      <c r="BJ73" t="str">
        <v>Saturday, 15-Aug-2026 10:04:34 GMT</v>
      </c>
      <c r="BK73">
        <v>0</v>
      </c>
      <c r="BL73">
        <v>0</v>
      </c>
      <c r="BM73">
        <v>0</v>
      </c>
      <c r="BN73" t="str">
        <v>en-US</v>
      </c>
      <c r="BO73" t="str">
        <v>None</v>
      </c>
      <c r="BP73">
        <v>0</v>
      </c>
      <c r="BQ73" t="str">
        <v>https://pmb.widyatama.ac.id/program-studi/teknik-informatika-s1/</v>
      </c>
      <c r="BR73">
        <v>46249.711493055554</v>
      </c>
      <c r="BZ73" t="str">
        <v>https://pmb.widyatama.ac.id/program-studi/teknik-informatika-s1/</v>
      </c>
      <c r="CA73" t="str">
        <v>Indexable</v>
      </c>
      <c r="CB73">
        <v>0</v>
      </c>
      <c r="CC73" t="str">
        <v>Program</v>
      </c>
      <c r="CD73" t="str">
        <v>Main PMB Website</v>
      </c>
      <c r="CE73" t="str">
        <v>Yes</v>
      </c>
      <c r="CV73" t="str">
        <v>Program</v>
      </c>
      <c r="DG73" t="str">
        <v>Program</v>
      </c>
      <c r="DV73" t="str">
        <v>Core PMB Website</v>
      </c>
      <c r="DW73" t="str">
        <v>Yes</v>
      </c>
      <c r="EA73" t="str">
        <v>P1 - Critical</v>
      </c>
    </row>
    <row r="74" spans="1:131">
      <c r="A74" t="str">
        <v>https://pmb.widyatama.ac.id/program-studi/akuntansi-s1/</v>
      </c>
      <c r="B74" t="str">
        <v>text/html; charset=UTF-8</v>
      </c>
      <c r="C74">
        <v>200</v>
      </c>
      <c r="D74">
        <v>0</v>
      </c>
      <c r="E74" t="str">
        <v>Indexable</v>
      </c>
      <c r="F74">
        <v>0</v>
      </c>
      <c r="G74" t="str">
        <v>Akuntansi S1 - PMB UTama</v>
      </c>
      <c r="H74">
        <v>24</v>
      </c>
      <c r="I74">
        <v>246</v>
      </c>
      <c r="J74">
        <v>0</v>
      </c>
      <c r="K74">
        <v>0</v>
      </c>
      <c r="L74">
        <v>0</v>
      </c>
      <c r="M74">
        <v>0</v>
      </c>
      <c r="N74">
        <v>0</v>
      </c>
      <c r="O74" t="str">
        <v>Professional Accountant</v>
      </c>
      <c r="P74">
        <v>23</v>
      </c>
      <c r="Q74">
        <v>0</v>
      </c>
      <c r="R74">
        <v>0</v>
      </c>
      <c r="S74" t="str">
        <v>Fakultas Ekonomi Bisnis</v>
      </c>
      <c r="T74">
        <v>23</v>
      </c>
      <c r="U74" t="str">
        <v>Akuntansi S1</v>
      </c>
      <c r="V74">
        <v>12</v>
      </c>
      <c r="W74" t="str">
        <v>index, follow, max-image-preview:large, max-snippet:-1, max-video-preview:-1</v>
      </c>
      <c r="X74">
        <v>0</v>
      </c>
      <c r="Y74">
        <v>0</v>
      </c>
      <c r="Z74" t="str">
        <v>https://pmb.widyatama.ac.id/program-studi/akuntansi-s1/</v>
      </c>
      <c r="AA74">
        <v>0</v>
      </c>
      <c r="AB74">
        <v>0</v>
      </c>
      <c r="AC74">
        <v>0</v>
      </c>
      <c r="AD74">
        <v>0</v>
      </c>
      <c r="AE74">
        <v>0</v>
      </c>
      <c r="AF74">
        <v>158956</v>
      </c>
      <c r="AG74">
        <v>33929</v>
      </c>
      <c r="AH74">
        <v>3783723</v>
      </c>
      <c r="AI74">
        <v>1341349</v>
      </c>
      <c r="AJ74" t="str">
        <v>F</v>
      </c>
      <c r="AK74">
        <v>370</v>
      </c>
      <c r="AL74">
        <v>95</v>
      </c>
      <c r="AM74">
        <v>3895</v>
      </c>
      <c r="AN74" t="str">
        <v>0.000</v>
      </c>
      <c r="AO74" t="str">
        <v>Very Hard</v>
      </c>
      <c r="AP74">
        <v>2002</v>
      </c>
      <c r="AQ74">
        <v>2</v>
      </c>
      <c r="AR74">
        <v>2</v>
      </c>
      <c r="AS74">
        <v>0</v>
      </c>
      <c r="AT74">
        <v>12</v>
      </c>
      <c r="AU74">
        <v>6</v>
      </c>
      <c r="AV74">
        <v>1</v>
      </c>
      <c r="AW74">
        <v>6900</v>
      </c>
      <c r="AX74">
        <v>113</v>
      </c>
      <c r="AY74">
        <v>29</v>
      </c>
      <c r="AZ74">
        <v>0</v>
      </c>
      <c r="BA74">
        <v>10</v>
      </c>
      <c r="BB74">
        <v>8</v>
      </c>
      <c r="BC74">
        <v>2</v>
      </c>
      <c r="BD74">
        <v>0</v>
      </c>
      <c r="BE74">
        <v>0</v>
      </c>
      <c r="BF74">
        <v>0</v>
      </c>
      <c r="BG74">
        <v>0</v>
      </c>
      <c r="BH74" t="str">
        <v>8d00b16cbdb6f6c49f888d573b36ab82</v>
      </c>
      <c r="BI74" t="str">
        <v>0.084</v>
      </c>
      <c r="BJ74" t="str">
        <v>Saturday, 15-Aug-2026 10:04:35 GMT</v>
      </c>
      <c r="BK74">
        <v>0</v>
      </c>
      <c r="BL74">
        <v>0</v>
      </c>
      <c r="BM74">
        <v>0</v>
      </c>
      <c r="BN74" t="str">
        <v>en-US</v>
      </c>
      <c r="BO74" t="str">
        <v>None</v>
      </c>
      <c r="BP74">
        <v>0</v>
      </c>
      <c r="BQ74" t="str">
        <v>https://pmb.widyatama.ac.id/program-studi/akuntansi-s1/</v>
      </c>
      <c r="BR74">
        <v>46249.711504629631</v>
      </c>
      <c r="BZ74" t="str">
        <v>https://pmb.widyatama.ac.id/program-studi/akuntansi-s1/</v>
      </c>
      <c r="CA74" t="str">
        <v>Indexable</v>
      </c>
      <c r="CB74">
        <v>0</v>
      </c>
      <c r="CC74" t="str">
        <v>Program</v>
      </c>
      <c r="CD74" t="str">
        <v>Main PMB Website</v>
      </c>
      <c r="CE74" t="str">
        <v>Yes</v>
      </c>
      <c r="CV74" t="str">
        <v>Program</v>
      </c>
      <c r="DG74" t="str">
        <v>Program</v>
      </c>
      <c r="DV74" t="str">
        <v>Core PMB Website</v>
      </c>
      <c r="DW74" t="str">
        <v>Yes</v>
      </c>
      <c r="EA74" t="str">
        <v>P1 - Critical</v>
      </c>
    </row>
    <row r="75" spans="1:131">
      <c r="A75" t="str">
        <v>https://pmb.widyatama.ac.id/program-studi/creative-business-management-d3/</v>
      </c>
      <c r="B75" t="str">
        <v>text/html; charset=UTF-8</v>
      </c>
      <c r="C75">
        <v>200</v>
      </c>
      <c r="D75">
        <v>0</v>
      </c>
      <c r="E75" t="str">
        <v>Indexable</v>
      </c>
      <c r="F75">
        <v>0</v>
      </c>
      <c r="G75" t="str">
        <v>Manajemen D3 - PMB UTama</v>
      </c>
      <c r="H75">
        <v>24</v>
      </c>
      <c r="I75">
        <v>262</v>
      </c>
      <c r="J75">
        <v>0</v>
      </c>
      <c r="K75">
        <v>0</v>
      </c>
      <c r="L75">
        <v>0</v>
      </c>
      <c r="M75">
        <v>0</v>
      </c>
      <c r="N75">
        <v>0</v>
      </c>
      <c r="O75" t="str">
        <v>Creative Business Management</v>
      </c>
      <c r="P75">
        <v>28</v>
      </c>
      <c r="Q75">
        <v>0</v>
      </c>
      <c r="R75">
        <v>0</v>
      </c>
      <c r="S75" t="str">
        <v>Fakultas Ekonomi Bisnis</v>
      </c>
      <c r="T75">
        <v>23</v>
      </c>
      <c r="U75" t="str">
        <v>Creative Business Management D3</v>
      </c>
      <c r="V75">
        <v>31</v>
      </c>
      <c r="W75" t="str">
        <v>index, follow, max-image-preview:large, max-snippet:-1, max-video-preview:-1</v>
      </c>
      <c r="X75">
        <v>0</v>
      </c>
      <c r="Y75">
        <v>0</v>
      </c>
      <c r="Z75" t="str">
        <v>https://pmb.widyatama.ac.id/program-studi/creative-business-management-d3/</v>
      </c>
      <c r="AA75">
        <v>0</v>
      </c>
      <c r="AB75">
        <v>0</v>
      </c>
      <c r="AC75">
        <v>0</v>
      </c>
      <c r="AD75">
        <v>0</v>
      </c>
      <c r="AE75">
        <v>0</v>
      </c>
      <c r="AF75">
        <v>162481</v>
      </c>
      <c r="AG75">
        <v>34320</v>
      </c>
      <c r="AH75">
        <v>3942934</v>
      </c>
      <c r="AI75">
        <v>1397790</v>
      </c>
      <c r="AJ75" t="str">
        <v>F</v>
      </c>
      <c r="AK75">
        <v>469</v>
      </c>
      <c r="AL75">
        <v>131</v>
      </c>
      <c r="AM75">
        <v>3580</v>
      </c>
      <c r="AN75">
        <v>7485</v>
      </c>
      <c r="AO75" t="str">
        <v>Very Hard</v>
      </c>
      <c r="AP75">
        <v>2229</v>
      </c>
      <c r="AQ75">
        <v>2</v>
      </c>
      <c r="AR75">
        <v>2</v>
      </c>
      <c r="AS75">
        <v>0</v>
      </c>
      <c r="AT75">
        <v>10</v>
      </c>
      <c r="AU75">
        <v>5</v>
      </c>
      <c r="AV75">
        <v>1</v>
      </c>
      <c r="AW75">
        <v>5750</v>
      </c>
      <c r="AX75">
        <v>113</v>
      </c>
      <c r="AY75">
        <v>29</v>
      </c>
      <c r="AZ75">
        <v>0</v>
      </c>
      <c r="BA75">
        <v>10</v>
      </c>
      <c r="BB75">
        <v>8</v>
      </c>
      <c r="BC75">
        <v>2</v>
      </c>
      <c r="BD75">
        <v>0</v>
      </c>
      <c r="BE75">
        <v>0</v>
      </c>
      <c r="BF75">
        <v>0</v>
      </c>
      <c r="BG75">
        <v>0</v>
      </c>
      <c r="BH75" t="str">
        <v>b00e31adda5248e771e951f3292e2ce2</v>
      </c>
      <c r="BI75" t="str">
        <v>0.084</v>
      </c>
      <c r="BJ75" t="str">
        <v>Saturday, 15-Aug-2026 10:04:35 GMT</v>
      </c>
      <c r="BK75">
        <v>0</v>
      </c>
      <c r="BL75">
        <v>0</v>
      </c>
      <c r="BM75">
        <v>0</v>
      </c>
      <c r="BN75" t="str">
        <v>en-US</v>
      </c>
      <c r="BO75" t="str">
        <v>None</v>
      </c>
      <c r="BP75">
        <v>0</v>
      </c>
      <c r="BQ75" t="str">
        <v>https://pmb.widyatama.ac.id/program-studi/creative-business-management-d3/</v>
      </c>
      <c r="BR75">
        <v>46249.711504629631</v>
      </c>
      <c r="BZ75" t="str">
        <v>https://pmb.widyatama.ac.id/program-studi/creative-business-management-d3/</v>
      </c>
      <c r="CA75" t="str">
        <v>Indexable</v>
      </c>
      <c r="CB75">
        <v>0</v>
      </c>
      <c r="CC75" t="str">
        <v>Program</v>
      </c>
      <c r="CD75" t="str">
        <v>Main PMB Website</v>
      </c>
      <c r="CE75" t="str">
        <v>Yes</v>
      </c>
      <c r="CV75" t="str">
        <v>Program</v>
      </c>
      <c r="DG75" t="str">
        <v>Program</v>
      </c>
      <c r="DV75" t="str">
        <v>Core PMB Website</v>
      </c>
      <c r="DW75" t="str">
        <v>Yes</v>
      </c>
      <c r="EA75" t="str">
        <v>P1 - Critical</v>
      </c>
    </row>
    <row r="76" spans="1:131">
      <c r="A76" t="str">
        <v>https://pmb.widyatama.ac.id/program-studi/film-and-television-production-d4/</v>
      </c>
      <c r="B76" t="str">
        <v>text/html; charset=UTF-8</v>
      </c>
      <c r="C76">
        <v>200</v>
      </c>
      <c r="D76">
        <v>0</v>
      </c>
      <c r="E76" t="str">
        <v>Indexable</v>
      </c>
      <c r="F76">
        <v>0</v>
      </c>
      <c r="G76" t="str">
        <v>Film and Television Production D4 - PMB UTama</v>
      </c>
      <c r="H76">
        <v>45</v>
      </c>
      <c r="I76">
        <v>430</v>
      </c>
      <c r="J76">
        <v>0</v>
      </c>
      <c r="K76">
        <v>0</v>
      </c>
      <c r="L76">
        <v>0</v>
      </c>
      <c r="M76">
        <v>0</v>
      </c>
      <c r="N76">
        <v>0</v>
      </c>
      <c r="O76" t="str">
        <v>Film, TV &amp; Digital Media Production D4</v>
      </c>
      <c r="P76">
        <v>38</v>
      </c>
      <c r="Q76">
        <v>0</v>
      </c>
      <c r="R76">
        <v>0</v>
      </c>
      <c r="S76" t="str">
        <v>Fakultas Ilmu Sosial Ilmu Politik</v>
      </c>
      <c r="T76">
        <v>33</v>
      </c>
      <c r="U76" t="str">
        <v>Film and Television Production D4</v>
      </c>
      <c r="V76">
        <v>33</v>
      </c>
      <c r="W76" t="str">
        <v>index, follow, max-image-preview:large, max-snippet:-1, max-video-preview:-1</v>
      </c>
      <c r="X76">
        <v>0</v>
      </c>
      <c r="Y76">
        <v>0</v>
      </c>
      <c r="Z76" t="str">
        <v>https://pmb.widyatama.ac.id/program-studi/film-and-television-production-d4/</v>
      </c>
      <c r="AA76">
        <v>0</v>
      </c>
      <c r="AB76">
        <v>0</v>
      </c>
      <c r="AC76">
        <v>0</v>
      </c>
      <c r="AD76">
        <v>0</v>
      </c>
      <c r="AE76">
        <v>0</v>
      </c>
      <c r="AF76">
        <v>157340</v>
      </c>
      <c r="AG76">
        <v>33828</v>
      </c>
      <c r="AH76">
        <v>3408946</v>
      </c>
      <c r="AI76">
        <v>1208488</v>
      </c>
      <c r="AJ76" t="str">
        <v>F</v>
      </c>
      <c r="AK76">
        <v>469</v>
      </c>
      <c r="AL76">
        <v>94</v>
      </c>
      <c r="AM76">
        <v>4989</v>
      </c>
      <c r="AN76">
        <v>25175</v>
      </c>
      <c r="AO76" t="str">
        <v>Very Hard</v>
      </c>
      <c r="AP76">
        <v>2168</v>
      </c>
      <c r="AQ76">
        <v>2</v>
      </c>
      <c r="AR76">
        <v>2</v>
      </c>
      <c r="AS76">
        <v>0</v>
      </c>
      <c r="AT76">
        <v>12</v>
      </c>
      <c r="AU76">
        <v>6</v>
      </c>
      <c r="AV76">
        <v>1</v>
      </c>
      <c r="AW76">
        <v>6900</v>
      </c>
      <c r="AX76">
        <v>113</v>
      </c>
      <c r="AY76">
        <v>29</v>
      </c>
      <c r="AZ76">
        <v>0</v>
      </c>
      <c r="BA76">
        <v>10</v>
      </c>
      <c r="BB76">
        <v>8</v>
      </c>
      <c r="BC76">
        <v>2</v>
      </c>
      <c r="BD76">
        <v>0</v>
      </c>
      <c r="BE76">
        <v>0</v>
      </c>
      <c r="BF76">
        <v>0</v>
      </c>
      <c r="BG76">
        <v>0</v>
      </c>
      <c r="BH76" t="str">
        <v>3a752af06d07a7435da2f1f4099cca47</v>
      </c>
      <c r="BI76" t="str">
        <v>0.166</v>
      </c>
      <c r="BJ76" t="str">
        <v>Saturday, 15-Aug-2026 10:04:35 GMT</v>
      </c>
      <c r="BK76">
        <v>0</v>
      </c>
      <c r="BL76">
        <v>0</v>
      </c>
      <c r="BM76">
        <v>0</v>
      </c>
      <c r="BN76" t="str">
        <v>en-US</v>
      </c>
      <c r="BO76" t="str">
        <v>None</v>
      </c>
      <c r="BP76">
        <v>0</v>
      </c>
      <c r="BQ76" t="str">
        <v>https://pmb.widyatama.ac.id/program-studi/film-and-television-production-d4/</v>
      </c>
      <c r="BR76">
        <v>46249.711516203701</v>
      </c>
      <c r="BZ76" t="str">
        <v>https://pmb.widyatama.ac.id/program-studi/film-and-television-production-d4/</v>
      </c>
      <c r="CA76" t="str">
        <v>Indexable</v>
      </c>
      <c r="CB76">
        <v>0</v>
      </c>
      <c r="CC76" t="str">
        <v>Program</v>
      </c>
      <c r="CD76" t="str">
        <v>Main PMB Website</v>
      </c>
      <c r="CE76" t="str">
        <v>Yes</v>
      </c>
      <c r="CV76" t="str">
        <v>Program</v>
      </c>
      <c r="DG76" t="str">
        <v>Program</v>
      </c>
      <c r="DV76" t="str">
        <v>Core PMB Website</v>
      </c>
      <c r="DW76" t="str">
        <v>Yes</v>
      </c>
      <c r="EA76" t="str">
        <v>P1 - Critical</v>
      </c>
    </row>
    <row r="77" spans="1:131">
      <c r="A77" t="str">
        <v>https://pmb.widyatama.ac.id/program-studi/manajemen-pemasaran-s1/</v>
      </c>
      <c r="B77" t="str">
        <v>text/html; charset=UTF-8</v>
      </c>
      <c r="C77">
        <v>200</v>
      </c>
      <c r="D77">
        <v>0</v>
      </c>
      <c r="E77" t="str">
        <v>Indexable</v>
      </c>
      <c r="F77">
        <v>0</v>
      </c>
      <c r="G77" t="str">
        <v>Manajemen Pemasaran S1 - PMB UTama</v>
      </c>
      <c r="H77">
        <v>34</v>
      </c>
      <c r="I77">
        <v>369</v>
      </c>
      <c r="J77">
        <v>0</v>
      </c>
      <c r="K77">
        <v>0</v>
      </c>
      <c r="L77">
        <v>0</v>
      </c>
      <c r="M77">
        <v>0</v>
      </c>
      <c r="N77">
        <v>0</v>
      </c>
      <c r="O77" t="str">
        <v>Digital Marketing Management</v>
      </c>
      <c r="P77">
        <v>28</v>
      </c>
      <c r="Q77">
        <v>0</v>
      </c>
      <c r="R77">
        <v>0</v>
      </c>
      <c r="S77" t="str">
        <v>Fakultas Ekonomi Bisnis</v>
      </c>
      <c r="T77">
        <v>23</v>
      </c>
      <c r="U77" t="str">
        <v>Manajemen Pemasaran S1</v>
      </c>
      <c r="V77">
        <v>22</v>
      </c>
      <c r="W77" t="str">
        <v>index, follow, max-image-preview:large, max-snippet:-1, max-video-preview:-1</v>
      </c>
      <c r="X77">
        <v>0</v>
      </c>
      <c r="Y77">
        <v>0</v>
      </c>
      <c r="Z77" t="str">
        <v>https://pmb.widyatama.ac.id/program-studi/manajemen-pemasaran-s1/</v>
      </c>
      <c r="AA77">
        <v>0</v>
      </c>
      <c r="AB77">
        <v>0</v>
      </c>
      <c r="AC77">
        <v>0</v>
      </c>
      <c r="AD77">
        <v>0</v>
      </c>
      <c r="AE77">
        <v>0</v>
      </c>
      <c r="AF77">
        <v>161719</v>
      </c>
      <c r="AG77">
        <v>34250</v>
      </c>
      <c r="AH77">
        <v>3721498</v>
      </c>
      <c r="AI77">
        <v>1319290</v>
      </c>
      <c r="AJ77" t="str">
        <v>F</v>
      </c>
      <c r="AK77">
        <v>415</v>
      </c>
      <c r="AL77">
        <v>105</v>
      </c>
      <c r="AM77">
        <v>3952</v>
      </c>
      <c r="AN77" t="str">
        <v>0.000</v>
      </c>
      <c r="AO77" t="str">
        <v>Very Hard</v>
      </c>
      <c r="AP77">
        <v>2134</v>
      </c>
      <c r="AQ77">
        <v>2</v>
      </c>
      <c r="AR77">
        <v>2</v>
      </c>
      <c r="AS77">
        <v>0</v>
      </c>
      <c r="AT77">
        <v>12</v>
      </c>
      <c r="AU77">
        <v>6</v>
      </c>
      <c r="AV77">
        <v>1</v>
      </c>
      <c r="AW77">
        <v>6900</v>
      </c>
      <c r="AX77">
        <v>113</v>
      </c>
      <c r="AY77">
        <v>29</v>
      </c>
      <c r="AZ77">
        <v>0</v>
      </c>
      <c r="BA77">
        <v>10</v>
      </c>
      <c r="BB77">
        <v>8</v>
      </c>
      <c r="BC77">
        <v>2</v>
      </c>
      <c r="BD77">
        <v>0</v>
      </c>
      <c r="BE77">
        <v>0</v>
      </c>
      <c r="BF77">
        <v>0</v>
      </c>
      <c r="BG77">
        <v>0</v>
      </c>
      <c r="BH77" t="str">
        <v>2fa61228dbbd733be2ffbf866f86bb05</v>
      </c>
      <c r="BI77">
        <v>2541</v>
      </c>
      <c r="BJ77" t="str">
        <v>Saturday, 15-Aug-2026 10:04:42 GMT</v>
      </c>
      <c r="BK77">
        <v>0</v>
      </c>
      <c r="BL77">
        <v>0</v>
      </c>
      <c r="BM77">
        <v>0</v>
      </c>
      <c r="BN77" t="str">
        <v>en-US</v>
      </c>
      <c r="BO77" t="str">
        <v>None</v>
      </c>
      <c r="BP77">
        <v>0</v>
      </c>
      <c r="BQ77" t="str">
        <v>https://pmb.widyatama.ac.id/program-studi/manajemen-pemasaran-s1/</v>
      </c>
      <c r="BR77">
        <v>46249.711550925924</v>
      </c>
      <c r="BZ77" t="str">
        <v>https://pmb.widyatama.ac.id/program-studi/manajemen-pemasaran-s1/</v>
      </c>
      <c r="CA77" t="str">
        <v>Indexable</v>
      </c>
      <c r="CB77">
        <v>0</v>
      </c>
      <c r="CC77" t="str">
        <v>Program</v>
      </c>
      <c r="CD77" t="str">
        <v>Main PMB Website</v>
      </c>
      <c r="CE77" t="str">
        <v>Yes</v>
      </c>
      <c r="CV77" t="str">
        <v>Program</v>
      </c>
      <c r="DG77" t="str">
        <v>Program</v>
      </c>
      <c r="DV77" t="str">
        <v>Core PMB Website</v>
      </c>
      <c r="DW77" t="str">
        <v>Yes</v>
      </c>
      <c r="EA77" t="str">
        <v>P1 - Critical</v>
      </c>
    </row>
    <row r="78" spans="1:131">
      <c r="A78" t="str">
        <v>https://pmb.widyatama.ac.id/program-studi/perpustakaan-sains-informasi-s1/</v>
      </c>
      <c r="B78" t="str">
        <v>text/html; charset=UTF-8</v>
      </c>
      <c r="C78">
        <v>200</v>
      </c>
      <c r="D78">
        <v>0</v>
      </c>
      <c r="E78" t="str">
        <v>Indexable</v>
      </c>
      <c r="F78">
        <v>0</v>
      </c>
      <c r="G78" t="str">
        <v>Perpustakaan dan Sains Informasi S1 - PMB UTama</v>
      </c>
      <c r="H78">
        <v>47</v>
      </c>
      <c r="I78">
        <v>463</v>
      </c>
      <c r="J78">
        <v>0</v>
      </c>
      <c r="K78">
        <v>0</v>
      </c>
      <c r="L78">
        <v>0</v>
      </c>
      <c r="M78">
        <v>0</v>
      </c>
      <c r="N78">
        <v>0</v>
      </c>
      <c r="O78" t="str">
        <v>Digital Library &amp; Information Science using 70% Tech-based Curriculum</v>
      </c>
      <c r="P78">
        <v>69</v>
      </c>
      <c r="Q78">
        <v>0</v>
      </c>
      <c r="R78">
        <v>0</v>
      </c>
      <c r="S78" t="str">
        <v>Fakultas Ilmu Sosial Ilmu Politik</v>
      </c>
      <c r="T78">
        <v>33</v>
      </c>
      <c r="U78" t="str">
        <v>Perpustakaan &amp; Sains Informasi S1</v>
      </c>
      <c r="V78">
        <v>33</v>
      </c>
      <c r="W78" t="str">
        <v>index, follow, max-image-preview:large, max-snippet:-1, max-video-preview:-1</v>
      </c>
      <c r="X78">
        <v>0</v>
      </c>
      <c r="Y78">
        <v>0</v>
      </c>
      <c r="Z78" t="str">
        <v>https://pmb.widyatama.ac.id/program-studi/perpustakaan-sains-informasi-s1/</v>
      </c>
      <c r="AA78">
        <v>0</v>
      </c>
      <c r="AB78">
        <v>0</v>
      </c>
      <c r="AC78">
        <v>0</v>
      </c>
      <c r="AD78">
        <v>0</v>
      </c>
      <c r="AE78">
        <v>0</v>
      </c>
      <c r="AF78">
        <v>162706</v>
      </c>
      <c r="AG78">
        <v>35007</v>
      </c>
      <c r="AH78">
        <v>3731765</v>
      </c>
      <c r="AI78">
        <v>1322929</v>
      </c>
      <c r="AJ78" t="str">
        <v>F</v>
      </c>
      <c r="AK78">
        <v>725</v>
      </c>
      <c r="AL78">
        <v>148</v>
      </c>
      <c r="AM78">
        <v>4899</v>
      </c>
      <c r="AN78" t="str">
        <v>0.000</v>
      </c>
      <c r="AO78" t="str">
        <v>Very Hard</v>
      </c>
      <c r="AP78">
        <v>3324</v>
      </c>
      <c r="AQ78">
        <v>2</v>
      </c>
      <c r="AR78">
        <v>2</v>
      </c>
      <c r="AS78">
        <v>0</v>
      </c>
      <c r="AT78">
        <v>10</v>
      </c>
      <c r="AU78">
        <v>5</v>
      </c>
      <c r="AV78">
        <v>1</v>
      </c>
      <c r="AW78">
        <v>5750</v>
      </c>
      <c r="AX78">
        <v>113</v>
      </c>
      <c r="AY78">
        <v>29</v>
      </c>
      <c r="AZ78">
        <v>0</v>
      </c>
      <c r="BA78">
        <v>10</v>
      </c>
      <c r="BB78">
        <v>8</v>
      </c>
      <c r="BC78">
        <v>2</v>
      </c>
      <c r="BD78">
        <v>0</v>
      </c>
      <c r="BE78">
        <v>0</v>
      </c>
      <c r="BF78">
        <v>0</v>
      </c>
      <c r="BG78">
        <v>0</v>
      </c>
      <c r="BH78" t="str">
        <v>ceee67e2c5ccd634a6ad98200d70ebce</v>
      </c>
      <c r="BI78" t="str">
        <v>0.094</v>
      </c>
      <c r="BJ78" t="str">
        <v>Saturday, 15-Aug-2026 10:04:46 GMT</v>
      </c>
      <c r="BK78">
        <v>0</v>
      </c>
      <c r="BL78">
        <v>0</v>
      </c>
      <c r="BM78">
        <v>0</v>
      </c>
      <c r="BN78" t="str">
        <v>en-US</v>
      </c>
      <c r="BO78" t="str">
        <v>None</v>
      </c>
      <c r="BP78">
        <v>0</v>
      </c>
      <c r="BQ78" t="str">
        <v>https://pmb.widyatama.ac.id/program-studi/perpustakaan-sains-informasi-s1/</v>
      </c>
      <c r="BR78">
        <v>46249.711631944447</v>
      </c>
      <c r="BZ78" t="str">
        <v>https://pmb.widyatama.ac.id/program-studi/perpustakaan-sains-informasi-s1/</v>
      </c>
      <c r="CA78" t="str">
        <v>Indexable</v>
      </c>
      <c r="CB78">
        <v>0</v>
      </c>
      <c r="CC78" t="str">
        <v>Program</v>
      </c>
      <c r="CD78" t="str">
        <v>Main PMB Website</v>
      </c>
      <c r="CE78" t="str">
        <v>Yes</v>
      </c>
      <c r="CV78" t="str">
        <v>Program</v>
      </c>
      <c r="DG78" t="str">
        <v>Program</v>
      </c>
      <c r="DV78" t="str">
        <v>Core PMB Website</v>
      </c>
      <c r="DW78" t="str">
        <v>Yes</v>
      </c>
      <c r="EA78" t="str">
        <v>P1 - Critical</v>
      </c>
    </row>
    <row r="79" spans="1:131">
      <c r="A79" t="str">
        <v>https://pmb.widyatama.ac.id/program-studi/bahasa-inggris-s1/</v>
      </c>
      <c r="B79" t="str">
        <v>text/html; charset=UTF-8</v>
      </c>
      <c r="C79">
        <v>200</v>
      </c>
      <c r="D79">
        <v>0</v>
      </c>
      <c r="E79" t="str">
        <v>Indexable</v>
      </c>
      <c r="F79">
        <v>0</v>
      </c>
      <c r="G79" t="str">
        <v>Bahasa Inggris S1 - PMB UTama</v>
      </c>
      <c r="H79">
        <v>29</v>
      </c>
      <c r="I79">
        <v>290</v>
      </c>
      <c r="J79">
        <v>0</v>
      </c>
      <c r="K79">
        <v>0</v>
      </c>
      <c r="L79">
        <v>0</v>
      </c>
      <c r="M79">
        <v>0</v>
      </c>
      <c r="N79">
        <v>0</v>
      </c>
      <c r="O79" t="str">
        <v>English for Diplomatic Purposes and Tourism</v>
      </c>
      <c r="P79">
        <v>43</v>
      </c>
      <c r="Q79">
        <v>0</v>
      </c>
      <c r="R79">
        <v>0</v>
      </c>
      <c r="S79" t="str">
        <v>Fakultas Ilmu Budaya</v>
      </c>
      <c r="T79">
        <v>20</v>
      </c>
      <c r="U79" t="str">
        <v>Bahasa Inggris S1</v>
      </c>
      <c r="V79">
        <v>17</v>
      </c>
      <c r="W79" t="str">
        <v>index, follow, max-image-preview:large, max-snippet:-1, max-video-preview:-1</v>
      </c>
      <c r="X79">
        <v>0</v>
      </c>
      <c r="Y79">
        <v>0</v>
      </c>
      <c r="Z79" t="str">
        <v>https://pmb.widyatama.ac.id/program-studi/bahasa-inggris-s1/</v>
      </c>
      <c r="AA79">
        <v>0</v>
      </c>
      <c r="AB79">
        <v>0</v>
      </c>
      <c r="AC79">
        <v>0</v>
      </c>
      <c r="AD79">
        <v>0</v>
      </c>
      <c r="AE79">
        <v>0</v>
      </c>
      <c r="AF79">
        <v>158449</v>
      </c>
      <c r="AG79">
        <v>34434</v>
      </c>
      <c r="AH79">
        <v>3807861</v>
      </c>
      <c r="AI79">
        <v>1349906</v>
      </c>
      <c r="AJ79" t="str">
        <v>F</v>
      </c>
      <c r="AK79">
        <v>516</v>
      </c>
      <c r="AL79">
        <v>103</v>
      </c>
      <c r="AM79">
        <v>5010</v>
      </c>
      <c r="AN79">
        <v>7137</v>
      </c>
      <c r="AO79" t="str">
        <v>Very Hard</v>
      </c>
      <c r="AP79">
        <v>2435</v>
      </c>
      <c r="AQ79">
        <v>2</v>
      </c>
      <c r="AR79">
        <v>2</v>
      </c>
      <c r="AS79">
        <v>0</v>
      </c>
      <c r="AT79">
        <v>12</v>
      </c>
      <c r="AU79">
        <v>6</v>
      </c>
      <c r="AV79">
        <v>1</v>
      </c>
      <c r="AW79">
        <v>6900</v>
      </c>
      <c r="AX79">
        <v>113</v>
      </c>
      <c r="AY79">
        <v>29</v>
      </c>
      <c r="AZ79">
        <v>0</v>
      </c>
      <c r="BA79">
        <v>10</v>
      </c>
      <c r="BB79">
        <v>8</v>
      </c>
      <c r="BC79">
        <v>2</v>
      </c>
      <c r="BD79">
        <v>0</v>
      </c>
      <c r="BE79">
        <v>0</v>
      </c>
      <c r="BF79">
        <v>0</v>
      </c>
      <c r="BG79">
        <v>0</v>
      </c>
      <c r="BH79" t="str">
        <v>cfba9300554d96e4820943418e4ae07</v>
      </c>
      <c r="BI79" t="str">
        <v>0.077</v>
      </c>
      <c r="BJ79" t="str">
        <v>Saturday, 15-Aug-2026 10:04:47 GMT</v>
      </c>
      <c r="BK79">
        <v>0</v>
      </c>
      <c r="BL79">
        <v>0</v>
      </c>
      <c r="BM79">
        <v>0</v>
      </c>
      <c r="BN79" t="str">
        <v>en-US</v>
      </c>
      <c r="BO79" t="str">
        <v>None</v>
      </c>
      <c r="BP79">
        <v>0</v>
      </c>
      <c r="BQ79" t="str">
        <v>https://pmb.widyatama.ac.id/program-studi/bahasa-inggris-s1/</v>
      </c>
      <c r="BR79">
        <v>46249.711655092593</v>
      </c>
      <c r="BZ79" t="str">
        <v>https://pmb.widyatama.ac.id/program-studi/bahasa-inggris-s1/</v>
      </c>
      <c r="CA79" t="str">
        <v>Indexable</v>
      </c>
      <c r="CB79">
        <v>0</v>
      </c>
      <c r="CC79" t="str">
        <v>Program</v>
      </c>
      <c r="CD79" t="str">
        <v>Main PMB Website</v>
      </c>
      <c r="CE79" t="str">
        <v>Yes</v>
      </c>
      <c r="CV79" t="str">
        <v>Program</v>
      </c>
      <c r="DG79" t="str">
        <v>Program</v>
      </c>
      <c r="DV79" t="str">
        <v>Core PMB Website</v>
      </c>
      <c r="DW79" t="str">
        <v>Yes</v>
      </c>
      <c r="EA79" t="str">
        <v>P1 - Critical</v>
      </c>
    </row>
    <row r="80" spans="1:131">
      <c r="A80" t="str">
        <v>https://pmb.widyatama.ac.id/program-studi/digital-accounting-d3/</v>
      </c>
      <c r="B80" t="str">
        <v>text/html; charset=UTF-8</v>
      </c>
      <c r="C80">
        <v>200</v>
      </c>
      <c r="D80">
        <v>0</v>
      </c>
      <c r="E80" t="str">
        <v>Indexable</v>
      </c>
      <c r="F80">
        <v>0</v>
      </c>
      <c r="G80" t="str">
        <v>Digital Accounting D3 (Akuntansi D3) - PMB UTama</v>
      </c>
      <c r="H80">
        <v>48</v>
      </c>
      <c r="I80">
        <v>456</v>
      </c>
      <c r="J80">
        <v>0</v>
      </c>
      <c r="K80">
        <v>0</v>
      </c>
      <c r="L80">
        <v>0</v>
      </c>
      <c r="M80">
        <v>0</v>
      </c>
      <c r="N80">
        <v>0</v>
      </c>
      <c r="O80" t="str">
        <v>Digital Accounting</v>
      </c>
      <c r="P80">
        <v>18</v>
      </c>
      <c r="Q80">
        <v>0</v>
      </c>
      <c r="R80">
        <v>0</v>
      </c>
      <c r="S80" t="str">
        <v>Fakultas Ekonomi Bisnis</v>
      </c>
      <c r="T80">
        <v>23</v>
      </c>
      <c r="U80" t="str">
        <v>Digital Accounting D3</v>
      </c>
      <c r="V80">
        <v>21</v>
      </c>
      <c r="W80" t="str">
        <v>index, follow, max-image-preview:large, max-snippet:-1, max-video-preview:-1</v>
      </c>
      <c r="X80">
        <v>0</v>
      </c>
      <c r="Y80">
        <v>0</v>
      </c>
      <c r="Z80" t="str">
        <v>https://pmb.widyatama.ac.id/program-studi/digital-accounting-d3/</v>
      </c>
      <c r="AA80">
        <v>0</v>
      </c>
      <c r="AB80">
        <v>0</v>
      </c>
      <c r="AC80">
        <v>0</v>
      </c>
      <c r="AD80">
        <v>0</v>
      </c>
      <c r="AE80">
        <v>0</v>
      </c>
      <c r="AF80">
        <v>161494</v>
      </c>
      <c r="AG80">
        <v>34011</v>
      </c>
      <c r="AH80">
        <v>4181933</v>
      </c>
      <c r="AI80">
        <v>1482516</v>
      </c>
      <c r="AJ80" t="str">
        <v>F</v>
      </c>
      <c r="AK80">
        <v>326</v>
      </c>
      <c r="AL80">
        <v>93</v>
      </c>
      <c r="AM80">
        <v>3505</v>
      </c>
      <c r="AN80">
        <v>9164</v>
      </c>
      <c r="AO80" t="str">
        <v>Very Hard</v>
      </c>
      <c r="AP80">
        <v>1807</v>
      </c>
      <c r="AQ80">
        <v>2</v>
      </c>
      <c r="AR80">
        <v>2</v>
      </c>
      <c r="AS80">
        <v>0</v>
      </c>
      <c r="AT80">
        <v>10</v>
      </c>
      <c r="AU80">
        <v>5</v>
      </c>
      <c r="AV80">
        <v>1</v>
      </c>
      <c r="AW80">
        <v>5750</v>
      </c>
      <c r="AX80">
        <v>113</v>
      </c>
      <c r="AY80">
        <v>29</v>
      </c>
      <c r="AZ80">
        <v>0</v>
      </c>
      <c r="BA80">
        <v>10</v>
      </c>
      <c r="BB80">
        <v>8</v>
      </c>
      <c r="BC80">
        <v>2</v>
      </c>
      <c r="BD80">
        <v>0</v>
      </c>
      <c r="BE80">
        <v>0</v>
      </c>
      <c r="BF80">
        <v>0</v>
      </c>
      <c r="BG80">
        <v>0</v>
      </c>
      <c r="BH80" t="str">
        <v>b53a95f4d81a0a57446997d52af8f429</v>
      </c>
      <c r="BI80">
        <v>2976</v>
      </c>
      <c r="BJ80" t="str">
        <v>Saturday, 15-Aug-2026 10:04:49 GMT</v>
      </c>
      <c r="BK80">
        <v>0</v>
      </c>
      <c r="BL80">
        <v>0</v>
      </c>
      <c r="BM80">
        <v>0</v>
      </c>
      <c r="BN80" t="str">
        <v>en-US</v>
      </c>
      <c r="BO80" t="str">
        <v>None</v>
      </c>
      <c r="BP80">
        <v>0</v>
      </c>
      <c r="BQ80" t="str">
        <v>https://pmb.widyatama.ac.id/program-studi/digital-accounting-d3/</v>
      </c>
      <c r="BR80">
        <v>46249.711643518516</v>
      </c>
      <c r="BZ80" t="str">
        <v>https://pmb.widyatama.ac.id/program-studi/digital-accounting-d3/</v>
      </c>
      <c r="CA80" t="str">
        <v>Indexable</v>
      </c>
      <c r="CB80">
        <v>0</v>
      </c>
      <c r="CC80" t="str">
        <v>Program</v>
      </c>
      <c r="CD80" t="str">
        <v>Main PMB Website</v>
      </c>
      <c r="CE80" t="str">
        <v>Yes</v>
      </c>
      <c r="CV80" t="str">
        <v>Program</v>
      </c>
      <c r="DG80" t="str">
        <v>Program</v>
      </c>
      <c r="DV80" t="str">
        <v>Core PMB Website</v>
      </c>
      <c r="DW80" t="str">
        <v>Yes</v>
      </c>
      <c r="EA80" t="str">
        <v>P1 - Critical</v>
      </c>
    </row>
    <row r="81" spans="1:131">
      <c r="A81" t="str">
        <v>https://pmb.widyatama.ac.id/program-studi/teknik-elektro-s1/</v>
      </c>
      <c r="B81" t="str">
        <v>text/html; charset=UTF-8</v>
      </c>
      <c r="C81">
        <v>200</v>
      </c>
      <c r="D81">
        <v>0</v>
      </c>
      <c r="E81" t="str">
        <v>Indexable</v>
      </c>
      <c r="F81">
        <v>0</v>
      </c>
      <c r="G81" t="str">
        <v>Teknik Elektro S1 - PMB UTama</v>
      </c>
      <c r="H81">
        <v>29</v>
      </c>
      <c r="I81">
        <v>281</v>
      </c>
      <c r="J81">
        <v>0</v>
      </c>
      <c r="K81">
        <v>0</v>
      </c>
      <c r="L81">
        <v>0</v>
      </c>
      <c r="M81">
        <v>0</v>
      </c>
      <c r="N81">
        <v>0</v>
      </c>
      <c r="O81" t="str">
        <v>Electrical and Smart Automation Engineering</v>
      </c>
      <c r="P81">
        <v>43</v>
      </c>
      <c r="Q81">
        <v>0</v>
      </c>
      <c r="R81">
        <v>0</v>
      </c>
      <c r="S81" t="str">
        <v>Fakultas Teknik</v>
      </c>
      <c r="T81">
        <v>15</v>
      </c>
      <c r="U81" t="str">
        <v>Teknik Elektro S1</v>
      </c>
      <c r="V81">
        <v>17</v>
      </c>
      <c r="W81" t="str">
        <v>index, follow, max-image-preview:large, max-snippet:-1, max-video-preview:-1</v>
      </c>
      <c r="X81">
        <v>0</v>
      </c>
      <c r="Y81">
        <v>0</v>
      </c>
      <c r="Z81" t="str">
        <v>https://pmb.widyatama.ac.id/program-studi/teknik-elektro-s1/</v>
      </c>
      <c r="AA81">
        <v>0</v>
      </c>
      <c r="AB81">
        <v>0</v>
      </c>
      <c r="AC81">
        <v>0</v>
      </c>
      <c r="AD81">
        <v>0</v>
      </c>
      <c r="AE81">
        <v>0</v>
      </c>
      <c r="AF81">
        <v>206482</v>
      </c>
      <c r="AG81">
        <v>37733</v>
      </c>
      <c r="AH81">
        <v>3388553</v>
      </c>
      <c r="AI81">
        <v>1201259</v>
      </c>
      <c r="AJ81" t="str">
        <v>F</v>
      </c>
      <c r="AK81">
        <v>875</v>
      </c>
      <c r="AL81">
        <v>179</v>
      </c>
      <c r="AM81">
        <v>4888</v>
      </c>
      <c r="AN81" t="str">
        <v>0.000</v>
      </c>
      <c r="AO81" t="str">
        <v>Very Hard</v>
      </c>
      <c r="AP81">
        <v>2999</v>
      </c>
      <c r="AQ81">
        <v>2</v>
      </c>
      <c r="AR81">
        <v>2</v>
      </c>
      <c r="AS81">
        <v>0</v>
      </c>
      <c r="AT81">
        <v>12</v>
      </c>
      <c r="AU81">
        <v>6</v>
      </c>
      <c r="AV81">
        <v>1</v>
      </c>
      <c r="AW81">
        <v>6900</v>
      </c>
      <c r="AX81">
        <v>117</v>
      </c>
      <c r="AY81">
        <v>29</v>
      </c>
      <c r="AZ81">
        <v>0</v>
      </c>
      <c r="BA81">
        <v>12</v>
      </c>
      <c r="BB81">
        <v>8</v>
      </c>
      <c r="BC81">
        <v>2</v>
      </c>
      <c r="BD81">
        <v>0</v>
      </c>
      <c r="BE81">
        <v>0</v>
      </c>
      <c r="BF81">
        <v>0</v>
      </c>
      <c r="BG81">
        <v>0</v>
      </c>
      <c r="BH81" t="str">
        <v>32939f18ac1963b9494266b12ae55f8d</v>
      </c>
      <c r="BI81">
        <v>2911</v>
      </c>
      <c r="BJ81" t="str">
        <v>Saturday, 15-Aug-2026 10:04:51 GMT</v>
      </c>
      <c r="BK81">
        <v>0</v>
      </c>
      <c r="BL81">
        <v>0</v>
      </c>
      <c r="BM81">
        <v>0</v>
      </c>
      <c r="BN81" t="str">
        <v>en-US</v>
      </c>
      <c r="BO81" t="str">
        <v>None</v>
      </c>
      <c r="BP81">
        <v>0</v>
      </c>
      <c r="BQ81" t="str">
        <v>https://pmb.widyatama.ac.id/program-studi/teknik-elektro-s1/</v>
      </c>
      <c r="BR81">
        <v>46249.711655092593</v>
      </c>
      <c r="BZ81" t="str">
        <v>https://pmb.widyatama.ac.id/program-studi/teknik-elektro-s1/</v>
      </c>
      <c r="CA81" t="str">
        <v>Indexable</v>
      </c>
      <c r="CB81">
        <v>0</v>
      </c>
      <c r="CC81" t="str">
        <v>Program</v>
      </c>
      <c r="CD81" t="str">
        <v>Main PMB Website</v>
      </c>
      <c r="CE81" t="str">
        <v>Yes</v>
      </c>
      <c r="CV81" t="str">
        <v>Program</v>
      </c>
      <c r="DG81" t="str">
        <v>Program</v>
      </c>
      <c r="DV81" t="str">
        <v>Core PMB Website</v>
      </c>
      <c r="DW81" t="str">
        <v>Yes</v>
      </c>
      <c r="EA81" t="str">
        <v>P1 - Critical</v>
      </c>
    </row>
    <row r="82" spans="1:131">
      <c r="A82" t="str">
        <v>https://online.pmb.widyatama.ac.id/hasil</v>
      </c>
      <c r="B82" t="str">
        <v>text/html; charset=utf-8</v>
      </c>
      <c r="C82">
        <v>200</v>
      </c>
      <c r="D82">
        <v>0</v>
      </c>
      <c r="E82" t="str">
        <v>Indexable</v>
      </c>
      <c r="F82">
        <v>0</v>
      </c>
      <c r="G82" t="str">
        <v>PMB | Universitas Widyatama</v>
      </c>
      <c r="H82">
        <v>27</v>
      </c>
      <c r="I82">
        <v>262</v>
      </c>
      <c r="J82">
        <v>0</v>
      </c>
      <c r="K82">
        <v>0</v>
      </c>
      <c r="L82">
        <v>0</v>
      </c>
      <c r="M82">
        <v>0</v>
      </c>
      <c r="N82">
        <v>0</v>
      </c>
      <c r="O82" t="str">
        <v>Hasil Seleksi</v>
      </c>
      <c r="P82">
        <v>13</v>
      </c>
      <c r="Q82">
        <v>0</v>
      </c>
      <c r="R82">
        <v>0</v>
      </c>
      <c r="S82">
        <v>0</v>
      </c>
      <c r="T82">
        <v>0</v>
      </c>
      <c r="U82">
        <v>0</v>
      </c>
      <c r="V82">
        <v>0</v>
      </c>
      <c r="W82">
        <v>0</v>
      </c>
      <c r="X82">
        <v>0</v>
      </c>
      <c r="Y82">
        <v>0</v>
      </c>
      <c r="Z82">
        <v>0</v>
      </c>
      <c r="AA82">
        <v>0</v>
      </c>
      <c r="AB82">
        <v>0</v>
      </c>
      <c r="AC82">
        <v>0</v>
      </c>
      <c r="AD82">
        <v>0</v>
      </c>
      <c r="AE82">
        <v>0</v>
      </c>
      <c r="AF82">
        <v>17745</v>
      </c>
      <c r="AG82">
        <v>5697</v>
      </c>
      <c r="AH82">
        <v>962288</v>
      </c>
      <c r="AI82">
        <v>341136</v>
      </c>
      <c r="AJ82" t="str">
        <v>C</v>
      </c>
      <c r="AK82">
        <v>15</v>
      </c>
      <c r="AL82">
        <v>8</v>
      </c>
      <c r="AM82">
        <v>1875</v>
      </c>
      <c r="AN82">
        <v>52652</v>
      </c>
      <c r="AO82" t="str">
        <v>Fairly Hard</v>
      </c>
      <c r="AP82">
        <v>1948</v>
      </c>
      <c r="AQ82">
        <v>2</v>
      </c>
      <c r="AR82">
        <v>0</v>
      </c>
      <c r="AS82">
        <v>0</v>
      </c>
      <c r="AT82">
        <v>13</v>
      </c>
      <c r="AU82">
        <v>11</v>
      </c>
      <c r="AV82">
        <v>2</v>
      </c>
      <c r="AW82">
        <v>12640</v>
      </c>
      <c r="AX82">
        <v>7</v>
      </c>
      <c r="AY82">
        <v>5</v>
      </c>
      <c r="AZ82">
        <v>0</v>
      </c>
      <c r="BA82">
        <v>2</v>
      </c>
      <c r="BB82">
        <v>2</v>
      </c>
      <c r="BC82">
        <v>0</v>
      </c>
      <c r="BD82">
        <v>0</v>
      </c>
      <c r="BE82">
        <v>0</v>
      </c>
      <c r="BF82">
        <v>0</v>
      </c>
      <c r="BG82">
        <v>0</v>
      </c>
      <c r="BH82" t="str">
        <v>7e49c6c7cce56c953d6e4af64c44bd5e</v>
      </c>
      <c r="BI82" t="str">
        <v>0.176</v>
      </c>
      <c r="BJ82">
        <v>0</v>
      </c>
      <c r="BK82">
        <v>0</v>
      </c>
      <c r="BL82">
        <v>0</v>
      </c>
      <c r="BM82">
        <v>0</v>
      </c>
      <c r="BN82" t="str">
        <v>en</v>
      </c>
      <c r="BO82" t="str">
        <v>2.0</v>
      </c>
      <c r="BP82">
        <v>0</v>
      </c>
      <c r="BQ82" t="str">
        <v>https://online.pmb.widyatama.ac.id/hasil</v>
      </c>
      <c r="BR82">
        <v>46249.711770833332</v>
      </c>
      <c r="BZ82" t="str">
        <v>https://online.pmb.widyatama.ac.id/hasil</v>
      </c>
      <c r="CA82" t="str">
        <v>Indexable</v>
      </c>
      <c r="CB82">
        <v>0</v>
      </c>
      <c r="CC82" t="str">
        <v>Other</v>
      </c>
      <c r="CD82" t="str">
        <v>Online Registration System</v>
      </c>
      <c r="CE82" t="str">
        <v>Yes</v>
      </c>
      <c r="CV82" t="str">
        <v>Other Review</v>
      </c>
      <c r="DG82" t="str">
        <v>Registration System</v>
      </c>
      <c r="DV82" t="str">
        <v>Registration System</v>
      </c>
      <c r="DW82" t="str">
        <v>Yes</v>
      </c>
      <c r="EA82" t="str">
        <v>P1 - Critical</v>
      </c>
    </row>
    <row r="83" spans="1:131">
      <c r="A83" t="str">
        <v>https://pmb.widyatama.ac.id/program-studi/interactive-multimedia-d3/</v>
      </c>
      <c r="B83" t="str">
        <v>text/html; charset=UTF-8</v>
      </c>
      <c r="C83">
        <v>200</v>
      </c>
      <c r="D83">
        <v>0</v>
      </c>
      <c r="E83" t="str">
        <v>Indexable</v>
      </c>
      <c r="F83">
        <v>0</v>
      </c>
      <c r="G83" t="str">
        <v>Multimedia D3 - PMB UTama</v>
      </c>
      <c r="H83">
        <v>25</v>
      </c>
      <c r="I83">
        <v>257</v>
      </c>
      <c r="J83">
        <v>0</v>
      </c>
      <c r="K83">
        <v>0</v>
      </c>
      <c r="L83">
        <v>0</v>
      </c>
      <c r="M83">
        <v>0</v>
      </c>
      <c r="N83">
        <v>0</v>
      </c>
      <c r="O83" t="str">
        <v>Interactive Multimedia D3</v>
      </c>
      <c r="P83">
        <v>25</v>
      </c>
      <c r="Q83">
        <v>0</v>
      </c>
      <c r="R83">
        <v>0</v>
      </c>
      <c r="S83" t="str">
        <v>Fakultas Desain Komunikasi Visual</v>
      </c>
      <c r="T83">
        <v>33</v>
      </c>
      <c r="U83" t="str">
        <v>Interactive Multimedia D3</v>
      </c>
      <c r="V83">
        <v>25</v>
      </c>
      <c r="W83" t="str">
        <v>index, follow, max-image-preview:large, max-snippet:-1, max-video-preview:-1</v>
      </c>
      <c r="X83">
        <v>0</v>
      </c>
      <c r="Y83">
        <v>0</v>
      </c>
      <c r="Z83" t="str">
        <v>https://pmb.widyatama.ac.id/program-studi/interactive-multimedia-d3/</v>
      </c>
      <c r="AA83">
        <v>0</v>
      </c>
      <c r="AB83">
        <v>0</v>
      </c>
      <c r="AC83">
        <v>0</v>
      </c>
      <c r="AD83">
        <v>0</v>
      </c>
      <c r="AE83">
        <v>0</v>
      </c>
      <c r="AF83">
        <v>158782</v>
      </c>
      <c r="AG83">
        <v>33689</v>
      </c>
      <c r="AH83">
        <v>4784485</v>
      </c>
      <c r="AI83">
        <v>1696124</v>
      </c>
      <c r="AJ83" t="str">
        <v>F</v>
      </c>
      <c r="AK83">
        <v>311</v>
      </c>
      <c r="AL83">
        <v>81</v>
      </c>
      <c r="AM83">
        <v>3840</v>
      </c>
      <c r="AN83" t="str">
        <v>0.000</v>
      </c>
      <c r="AO83" t="str">
        <v>Very Hard</v>
      </c>
      <c r="AP83">
        <v>1825</v>
      </c>
      <c r="AQ83">
        <v>2</v>
      </c>
      <c r="AR83">
        <v>2</v>
      </c>
      <c r="AS83">
        <v>0</v>
      </c>
      <c r="AT83">
        <v>10</v>
      </c>
      <c r="AU83">
        <v>5</v>
      </c>
      <c r="AV83">
        <v>1</v>
      </c>
      <c r="AW83">
        <v>5750</v>
      </c>
      <c r="AX83">
        <v>113</v>
      </c>
      <c r="AY83">
        <v>29</v>
      </c>
      <c r="AZ83">
        <v>0</v>
      </c>
      <c r="BA83">
        <v>10</v>
      </c>
      <c r="BB83">
        <v>8</v>
      </c>
      <c r="BC83">
        <v>2</v>
      </c>
      <c r="BD83">
        <v>0</v>
      </c>
      <c r="BE83">
        <v>0</v>
      </c>
      <c r="BF83">
        <v>0</v>
      </c>
      <c r="BG83">
        <v>0</v>
      </c>
      <c r="BH83" t="str">
        <v>8c48b5080d7ca9e2d0f7a4080eef09a8</v>
      </c>
      <c r="BI83">
        <v>2442</v>
      </c>
      <c r="BJ83" t="str">
        <v>Saturday, 15-Aug-2026 10:04:56 GMT</v>
      </c>
      <c r="BK83">
        <v>0</v>
      </c>
      <c r="BL83">
        <v>0</v>
      </c>
      <c r="BM83">
        <v>0</v>
      </c>
      <c r="BN83" t="str">
        <v>en-US</v>
      </c>
      <c r="BO83" t="str">
        <v>None</v>
      </c>
      <c r="BP83">
        <v>0</v>
      </c>
      <c r="BQ83" t="str">
        <v>https://pmb.widyatama.ac.id/program-studi/interactive-multimedia-d3/</v>
      </c>
      <c r="BR83">
        <v>46249.711724537039</v>
      </c>
      <c r="BZ83" t="str">
        <v>https://pmb.widyatama.ac.id/program-studi/interactive-multimedia-d3/</v>
      </c>
      <c r="CA83" t="str">
        <v>Indexable</v>
      </c>
      <c r="CB83">
        <v>0</v>
      </c>
      <c r="CC83" t="str">
        <v>Program</v>
      </c>
      <c r="CD83" t="str">
        <v>Main PMB Website</v>
      </c>
      <c r="CE83" t="str">
        <v>Yes</v>
      </c>
      <c r="CV83" t="str">
        <v>Program</v>
      </c>
      <c r="DG83" t="str">
        <v>Program</v>
      </c>
      <c r="DV83" t="str">
        <v>Core PMB Website</v>
      </c>
      <c r="DW83" t="str">
        <v>Yes</v>
      </c>
      <c r="EA83" t="str">
        <v>P1 - Critical</v>
      </c>
    </row>
    <row r="84" spans="1:131">
      <c r="A84" t="str">
        <v>https://online.pmb.widyatama.ac.id/auth/forgot_password</v>
      </c>
      <c r="B84" t="str">
        <v>text/html; charset=utf-8</v>
      </c>
      <c r="C84">
        <v>200</v>
      </c>
      <c r="D84">
        <v>0</v>
      </c>
      <c r="E84" t="str">
        <v>Indexable</v>
      </c>
      <c r="F84">
        <v>0</v>
      </c>
      <c r="G84" t="str">
        <v>PMB | Universitas Widyatama</v>
      </c>
      <c r="H84">
        <v>27</v>
      </c>
      <c r="I84">
        <v>262</v>
      </c>
      <c r="J84">
        <v>0</v>
      </c>
      <c r="K84">
        <v>0</v>
      </c>
      <c r="L84">
        <v>0</v>
      </c>
      <c r="M84">
        <v>0</v>
      </c>
      <c r="N84">
        <v>0</v>
      </c>
      <c r="O84" t="str">
        <v>Lupa Password</v>
      </c>
      <c r="P84">
        <v>13</v>
      </c>
      <c r="Q84">
        <v>0</v>
      </c>
      <c r="R84">
        <v>0</v>
      </c>
      <c r="S84">
        <v>0</v>
      </c>
      <c r="T84">
        <v>0</v>
      </c>
      <c r="U84">
        <v>0</v>
      </c>
      <c r="V84">
        <v>0</v>
      </c>
      <c r="W84">
        <v>0</v>
      </c>
      <c r="X84">
        <v>0</v>
      </c>
      <c r="Y84">
        <v>0</v>
      </c>
      <c r="Z84">
        <v>0</v>
      </c>
      <c r="AA84">
        <v>0</v>
      </c>
      <c r="AB84">
        <v>0</v>
      </c>
      <c r="AC84">
        <v>0</v>
      </c>
      <c r="AD84">
        <v>0</v>
      </c>
      <c r="AE84">
        <v>0</v>
      </c>
      <c r="AF84">
        <v>16918</v>
      </c>
      <c r="AG84">
        <v>5486</v>
      </c>
      <c r="AH84">
        <v>960301</v>
      </c>
      <c r="AI84">
        <v>340432</v>
      </c>
      <c r="AJ84" t="str">
        <v>B</v>
      </c>
      <c r="AK84">
        <v>26</v>
      </c>
      <c r="AL84">
        <v>9</v>
      </c>
      <c r="AM84">
        <v>2889</v>
      </c>
      <c r="AN84">
        <v>44464</v>
      </c>
      <c r="AO84" t="str">
        <v>Hard</v>
      </c>
      <c r="AP84">
        <v>2453</v>
      </c>
      <c r="AQ84">
        <v>3</v>
      </c>
      <c r="AR84">
        <v>1</v>
      </c>
      <c r="AS84">
        <v>0</v>
      </c>
      <c r="AT84">
        <v>2</v>
      </c>
      <c r="AU84">
        <v>2</v>
      </c>
      <c r="AV84">
        <v>0</v>
      </c>
      <c r="AW84">
        <v>2300</v>
      </c>
      <c r="AX84">
        <v>7</v>
      </c>
      <c r="AY84">
        <v>6</v>
      </c>
      <c r="AZ84">
        <v>0</v>
      </c>
      <c r="BA84">
        <v>2</v>
      </c>
      <c r="BB84">
        <v>2</v>
      </c>
      <c r="BC84">
        <v>0</v>
      </c>
      <c r="BD84">
        <v>0</v>
      </c>
      <c r="BE84">
        <v>0</v>
      </c>
      <c r="BF84">
        <v>0</v>
      </c>
      <c r="BG84">
        <v>0</v>
      </c>
      <c r="BH84" t="str">
        <v>dbd4391ff49965f31d88f4dca297e767</v>
      </c>
      <c r="BI84" t="str">
        <v>0.116</v>
      </c>
      <c r="BJ84">
        <v>0</v>
      </c>
      <c r="BK84">
        <v>0</v>
      </c>
      <c r="BL84">
        <v>0</v>
      </c>
      <c r="BM84">
        <v>0</v>
      </c>
      <c r="BN84" t="str">
        <v>en</v>
      </c>
      <c r="BO84" t="str">
        <v>2.0</v>
      </c>
      <c r="BP84">
        <v>0</v>
      </c>
      <c r="BQ84" t="str">
        <v>https://online.pmb.widyatama.ac.id/auth/forgot_password</v>
      </c>
      <c r="BR84">
        <v>46249.711909722224</v>
      </c>
      <c r="BZ84" t="str">
        <v>https://online.pmb.widyatama.ac.id/auth/forgot_password</v>
      </c>
      <c r="CA84" t="str">
        <v>Indexable</v>
      </c>
      <c r="CB84">
        <v>0</v>
      </c>
      <c r="CC84" t="str">
        <v>Other</v>
      </c>
      <c r="CD84" t="str">
        <v>Online Registration System</v>
      </c>
      <c r="CE84" t="str">
        <v>Yes</v>
      </c>
      <c r="CV84" t="str">
        <v>Registration System</v>
      </c>
      <c r="DG84" t="str">
        <v>Registration System</v>
      </c>
      <c r="DV84" t="str">
        <v>Registration System</v>
      </c>
      <c r="DW84" t="str">
        <v>Yes</v>
      </c>
      <c r="EA84" t="str">
        <v>P1 - Critical</v>
      </c>
    </row>
    <row r="85" spans="1:131">
      <c r="A85" t="str">
        <v>https://pmb.widyatama.ac.id/category/science-and-technology/</v>
      </c>
      <c r="B85" t="str">
        <v>text/html; charset=UTF-8</v>
      </c>
      <c r="C85">
        <v>200</v>
      </c>
      <c r="D85">
        <v>0</v>
      </c>
      <c r="E85" t="str">
        <v>Indexable</v>
      </c>
      <c r="F85">
        <v>0</v>
      </c>
      <c r="G85" t="str">
        <v>Science and Technology Archives - PMB UTama</v>
      </c>
      <c r="H85">
        <v>43</v>
      </c>
      <c r="I85">
        <v>425</v>
      </c>
      <c r="J85">
        <v>0</v>
      </c>
      <c r="K85">
        <v>0</v>
      </c>
      <c r="L85">
        <v>0</v>
      </c>
      <c r="M85">
        <v>0</v>
      </c>
      <c r="N85">
        <v>0</v>
      </c>
      <c r="O85" t="str">
        <v>The Rapid Advancement of Digital Technology</v>
      </c>
      <c r="P85">
        <v>43</v>
      </c>
      <c r="Q85" t="str">
        <v>Democracy in Indonesia: Why It Feels Weak at the Grassroots</v>
      </c>
      <c r="R85">
        <v>59</v>
      </c>
      <c r="S85" t="str">
        <v>Search</v>
      </c>
      <c r="T85">
        <v>6</v>
      </c>
      <c r="U85" t="str">
        <v>Categories</v>
      </c>
      <c r="V85">
        <v>10</v>
      </c>
      <c r="W85" t="str">
        <v>index, follow, max-image-preview:large, max-snippet:-1, max-video-preview:-1</v>
      </c>
      <c r="X85">
        <v>0</v>
      </c>
      <c r="Y85">
        <v>0</v>
      </c>
      <c r="Z85" t="str">
        <v>https://pmb.widyatama.ac.id/category/science-and-technology/</v>
      </c>
      <c r="AA85">
        <v>0</v>
      </c>
      <c r="AB85">
        <v>0</v>
      </c>
      <c r="AC85">
        <v>0</v>
      </c>
      <c r="AD85">
        <v>0</v>
      </c>
      <c r="AE85">
        <v>0</v>
      </c>
      <c r="AF85">
        <v>166699</v>
      </c>
      <c r="AG85">
        <v>33778</v>
      </c>
      <c r="AH85">
        <v>3051973</v>
      </c>
      <c r="AI85">
        <v>1081940</v>
      </c>
      <c r="AJ85" t="str">
        <v>F</v>
      </c>
      <c r="AK85">
        <v>222</v>
      </c>
      <c r="AL85">
        <v>57</v>
      </c>
      <c r="AM85">
        <v>3895</v>
      </c>
      <c r="AN85">
        <v>60358</v>
      </c>
      <c r="AO85" t="str">
        <v>Normal</v>
      </c>
      <c r="AP85">
        <v>1397</v>
      </c>
      <c r="AQ85">
        <v>3</v>
      </c>
      <c r="AR85">
        <v>2</v>
      </c>
      <c r="AS85">
        <v>0</v>
      </c>
      <c r="AT85">
        <v>7</v>
      </c>
      <c r="AU85">
        <v>3</v>
      </c>
      <c r="AV85">
        <v>1</v>
      </c>
      <c r="AW85">
        <v>3450</v>
      </c>
      <c r="AX85">
        <v>128</v>
      </c>
      <c r="AY85">
        <v>38</v>
      </c>
      <c r="AZ85">
        <v>0</v>
      </c>
      <c r="BA85">
        <v>8</v>
      </c>
      <c r="BB85">
        <v>7</v>
      </c>
      <c r="BC85">
        <v>2</v>
      </c>
      <c r="BD85">
        <v>0</v>
      </c>
      <c r="BE85">
        <v>0</v>
      </c>
      <c r="BF85">
        <v>0</v>
      </c>
      <c r="BG85">
        <v>0</v>
      </c>
      <c r="BH85" t="str">
        <v>d39d316f49f20d216d05d0fa7bf646f4</v>
      </c>
      <c r="BI85">
        <v>3149</v>
      </c>
      <c r="BJ85" t="str">
        <v>Saturday, 15-Aug-2026 10:05:12 GMT</v>
      </c>
      <c r="BK85">
        <v>0</v>
      </c>
      <c r="BL85">
        <v>0</v>
      </c>
      <c r="BM85">
        <v>0</v>
      </c>
      <c r="BN85" t="str">
        <v>en-US</v>
      </c>
      <c r="BO85" t="str">
        <v>2.0</v>
      </c>
      <c r="BP85">
        <v>0</v>
      </c>
      <c r="BQ85" t="str">
        <v>https://pmb.widyatama.ac.id/category/science-and-technology/</v>
      </c>
      <c r="BR85">
        <v>46249.711898148147</v>
      </c>
      <c r="BZ85" t="str">
        <v>https://pmb.widyatama.ac.id/category/science-and-technology/</v>
      </c>
      <c r="CA85" t="str">
        <v>Indexable</v>
      </c>
      <c r="CB85">
        <v>0</v>
      </c>
      <c r="CC85" t="str">
        <v>Other</v>
      </c>
      <c r="CD85" t="str">
        <v>Main PMB Website</v>
      </c>
      <c r="CE85" t="str">
        <v>Yes</v>
      </c>
      <c r="CV85" t="str">
        <v>Other Review</v>
      </c>
      <c r="DG85" t="str">
        <v>Content Archive</v>
      </c>
      <c r="DV85" t="str">
        <v>Core PMB Website</v>
      </c>
      <c r="DW85" t="str">
        <v>Yes</v>
      </c>
      <c r="EA85" t="str">
        <v>P3 - Standard</v>
      </c>
    </row>
    <row r="86" spans="1:131">
      <c r="A86" t="str">
        <v>https://pmb.widyatama.ac.id/category/medicine/</v>
      </c>
      <c r="B86" t="str">
        <v>text/html; charset=UTF-8</v>
      </c>
      <c r="C86">
        <v>200</v>
      </c>
      <c r="D86">
        <v>0</v>
      </c>
      <c r="E86" t="str">
        <v>Indexable</v>
      </c>
      <c r="F86">
        <v>0</v>
      </c>
      <c r="G86" t="str">
        <v>Medicine Archives - PMB UTama</v>
      </c>
      <c r="H86">
        <v>29</v>
      </c>
      <c r="I86">
        <v>290</v>
      </c>
      <c r="J86">
        <v>0</v>
      </c>
      <c r="K86">
        <v>0</v>
      </c>
      <c r="L86">
        <v>0</v>
      </c>
      <c r="M86">
        <v>0</v>
      </c>
      <c r="N86">
        <v>0</v>
      </c>
      <c r="O86" t="str">
        <v>The Rapid Advancement of Digital Technology</v>
      </c>
      <c r="P86">
        <v>43</v>
      </c>
      <c r="Q86" t="str">
        <v>Democracy in Indonesia: Why It Feels Weak at the Grassroots</v>
      </c>
      <c r="R86">
        <v>59</v>
      </c>
      <c r="S86" t="str">
        <v>Search</v>
      </c>
      <c r="T86">
        <v>6</v>
      </c>
      <c r="U86" t="str">
        <v>Categories</v>
      </c>
      <c r="V86">
        <v>10</v>
      </c>
      <c r="W86" t="str">
        <v>index, follow, max-image-preview:large, max-snippet:-1, max-video-preview:-1</v>
      </c>
      <c r="X86">
        <v>0</v>
      </c>
      <c r="Y86">
        <v>0</v>
      </c>
      <c r="Z86" t="str">
        <v>https://pmb.widyatama.ac.id/category/medicine/</v>
      </c>
      <c r="AA86">
        <v>0</v>
      </c>
      <c r="AB86">
        <v>0</v>
      </c>
      <c r="AC86">
        <v>0</v>
      </c>
      <c r="AD86">
        <v>0</v>
      </c>
      <c r="AE86">
        <v>0</v>
      </c>
      <c r="AF86">
        <v>167366</v>
      </c>
      <c r="AG86">
        <v>33725</v>
      </c>
      <c r="AH86">
        <v>3070529</v>
      </c>
      <c r="AI86">
        <v>1088518</v>
      </c>
      <c r="AJ86" t="str">
        <v>F</v>
      </c>
      <c r="AK86">
        <v>231</v>
      </c>
      <c r="AL86">
        <v>60</v>
      </c>
      <c r="AM86">
        <v>3850</v>
      </c>
      <c r="AN86">
        <v>66688</v>
      </c>
      <c r="AO86" t="str">
        <v>Normal</v>
      </c>
      <c r="AP86">
        <v>1405</v>
      </c>
      <c r="AQ86">
        <v>3</v>
      </c>
      <c r="AR86">
        <v>2</v>
      </c>
      <c r="AS86">
        <v>0</v>
      </c>
      <c r="AT86">
        <v>8</v>
      </c>
      <c r="AU86">
        <v>4</v>
      </c>
      <c r="AV86">
        <v>1</v>
      </c>
      <c r="AW86">
        <v>4600</v>
      </c>
      <c r="AX86">
        <v>131</v>
      </c>
      <c r="AY86">
        <v>38</v>
      </c>
      <c r="AZ86">
        <v>0</v>
      </c>
      <c r="BA86">
        <v>8</v>
      </c>
      <c r="BB86">
        <v>7</v>
      </c>
      <c r="BC86">
        <v>2</v>
      </c>
      <c r="BD86">
        <v>0</v>
      </c>
      <c r="BE86">
        <v>0</v>
      </c>
      <c r="BF86">
        <v>0</v>
      </c>
      <c r="BG86">
        <v>0</v>
      </c>
      <c r="BH86" t="str">
        <v>fcd934a35a71210bf074ff3365aaaaff</v>
      </c>
      <c r="BI86">
        <v>3259</v>
      </c>
      <c r="BJ86" t="str">
        <v>Saturday, 15-Aug-2026 10:05:12 GMT</v>
      </c>
      <c r="BK86">
        <v>0</v>
      </c>
      <c r="BL86">
        <v>0</v>
      </c>
      <c r="BM86">
        <v>0</v>
      </c>
      <c r="BN86" t="str">
        <v>en-US</v>
      </c>
      <c r="BO86" t="str">
        <v>2.0</v>
      </c>
      <c r="BP86">
        <v>0</v>
      </c>
      <c r="BQ86" t="str">
        <v>https://pmb.widyatama.ac.id/category/medicine/</v>
      </c>
      <c r="BR86">
        <v>46249.711898148147</v>
      </c>
      <c r="BZ86" t="str">
        <v>https://pmb.widyatama.ac.id/category/medicine/</v>
      </c>
      <c r="CA86" t="str">
        <v>Indexable</v>
      </c>
      <c r="CB86">
        <v>0</v>
      </c>
      <c r="CC86" t="str">
        <v>Other</v>
      </c>
      <c r="CD86" t="str">
        <v>Main PMB Website</v>
      </c>
      <c r="CE86" t="str">
        <v>Yes</v>
      </c>
      <c r="CV86" t="str">
        <v>Other Review</v>
      </c>
      <c r="DG86" t="str">
        <v>Content Archive</v>
      </c>
      <c r="DV86" t="str">
        <v>Core PMB Website</v>
      </c>
      <c r="DW86" t="str">
        <v>Yes</v>
      </c>
      <c r="EA86" t="str">
        <v>P3 - Standard</v>
      </c>
    </row>
    <row r="87" spans="1:131">
      <c r="A87" t="str">
        <v>https://pmb.widyatama.ac.id/category/law-and-policy/</v>
      </c>
      <c r="B87" t="str">
        <v>text/html; charset=UTF-8</v>
      </c>
      <c r="C87">
        <v>200</v>
      </c>
      <c r="D87">
        <v>0</v>
      </c>
      <c r="E87" t="str">
        <v>Indexable</v>
      </c>
      <c r="F87">
        <v>0</v>
      </c>
      <c r="G87" t="str">
        <v>Law and Policy Archives - PMB UTama</v>
      </c>
      <c r="H87">
        <v>35</v>
      </c>
      <c r="I87">
        <v>342</v>
      </c>
      <c r="J87">
        <v>0</v>
      </c>
      <c r="K87">
        <v>0</v>
      </c>
      <c r="L87">
        <v>0</v>
      </c>
      <c r="M87">
        <v>0</v>
      </c>
      <c r="N87">
        <v>0</v>
      </c>
      <c r="O87" t="str">
        <v>The Rapid Advancement of Digital Technology</v>
      </c>
      <c r="P87">
        <v>43</v>
      </c>
      <c r="Q87" t="str">
        <v>Democracy in Indonesia: Why It Feels Weak at the Grassroots</v>
      </c>
      <c r="R87">
        <v>59</v>
      </c>
      <c r="S87" t="str">
        <v>Search</v>
      </c>
      <c r="T87">
        <v>6</v>
      </c>
      <c r="U87" t="str">
        <v>Categories</v>
      </c>
      <c r="V87">
        <v>10</v>
      </c>
      <c r="W87" t="str">
        <v>index, follow, max-image-preview:large, max-snippet:-1, max-video-preview:-1</v>
      </c>
      <c r="X87">
        <v>0</v>
      </c>
      <c r="Y87">
        <v>0</v>
      </c>
      <c r="Z87" t="str">
        <v>https://pmb.widyatama.ac.id/category/law-and-policy/</v>
      </c>
      <c r="AA87">
        <v>0</v>
      </c>
      <c r="AB87">
        <v>0</v>
      </c>
      <c r="AC87">
        <v>0</v>
      </c>
      <c r="AD87">
        <v>0</v>
      </c>
      <c r="AE87">
        <v>0</v>
      </c>
      <c r="AF87">
        <v>169192</v>
      </c>
      <c r="AG87">
        <v>33696</v>
      </c>
      <c r="AH87">
        <v>3029961</v>
      </c>
      <c r="AI87">
        <v>1074136</v>
      </c>
      <c r="AJ87" t="str">
        <v>F</v>
      </c>
      <c r="AK87">
        <v>262</v>
      </c>
      <c r="AL87">
        <v>67</v>
      </c>
      <c r="AM87">
        <v>3910</v>
      </c>
      <c r="AN87">
        <v>65956</v>
      </c>
      <c r="AO87" t="str">
        <v>Normal</v>
      </c>
      <c r="AP87">
        <v>1470</v>
      </c>
      <c r="AQ87">
        <v>3</v>
      </c>
      <c r="AR87">
        <v>2</v>
      </c>
      <c r="AS87">
        <v>0</v>
      </c>
      <c r="AT87">
        <v>9</v>
      </c>
      <c r="AU87">
        <v>5</v>
      </c>
      <c r="AV87">
        <v>1</v>
      </c>
      <c r="AW87">
        <v>5750</v>
      </c>
      <c r="AX87">
        <v>134</v>
      </c>
      <c r="AY87">
        <v>38</v>
      </c>
      <c r="AZ87">
        <v>0</v>
      </c>
      <c r="BA87">
        <v>8</v>
      </c>
      <c r="BB87">
        <v>7</v>
      </c>
      <c r="BC87">
        <v>2</v>
      </c>
      <c r="BD87">
        <v>0</v>
      </c>
      <c r="BE87">
        <v>0</v>
      </c>
      <c r="BF87">
        <v>0</v>
      </c>
      <c r="BG87">
        <v>0</v>
      </c>
      <c r="BH87" t="str">
        <v>ada90af5e0d508811c4002193997db99</v>
      </c>
      <c r="BI87">
        <v>4566</v>
      </c>
      <c r="BJ87" t="str">
        <v>Saturday, 15-Aug-2026 10:05:13 GMT</v>
      </c>
      <c r="BK87">
        <v>0</v>
      </c>
      <c r="BL87">
        <v>0</v>
      </c>
      <c r="BM87">
        <v>0</v>
      </c>
      <c r="BN87" t="str">
        <v>en-US</v>
      </c>
      <c r="BO87" t="str">
        <v>2.0</v>
      </c>
      <c r="BP87">
        <v>0</v>
      </c>
      <c r="BQ87" t="str">
        <v>https://pmb.widyatama.ac.id/category/law-and-policy/</v>
      </c>
      <c r="BR87">
        <v>46249.711898148147</v>
      </c>
      <c r="BZ87" t="str">
        <v>https://pmb.widyatama.ac.id/category/law-and-policy/</v>
      </c>
      <c r="CA87" t="str">
        <v>Indexable</v>
      </c>
      <c r="CB87">
        <v>0</v>
      </c>
      <c r="CC87" t="str">
        <v>Other</v>
      </c>
      <c r="CD87" t="str">
        <v>Main PMB Website</v>
      </c>
      <c r="CE87" t="str">
        <v>Yes</v>
      </c>
      <c r="CV87" t="str">
        <v>Other Review</v>
      </c>
      <c r="DG87" t="str">
        <v>Content Archive</v>
      </c>
      <c r="DV87" t="str">
        <v>Core PMB Website</v>
      </c>
      <c r="DW87" t="str">
        <v>Yes</v>
      </c>
      <c r="EA87" t="str">
        <v>P3 - Standard</v>
      </c>
    </row>
    <row r="88" spans="1:131">
      <c r="A88" t="str">
        <v>https://pmb.widyatama.ac.id/2025/09/13/</v>
      </c>
      <c r="B88" t="str">
        <v>text/html; charset=UTF-8</v>
      </c>
      <c r="C88">
        <v>200</v>
      </c>
      <c r="D88">
        <v>0</v>
      </c>
      <c r="E88" t="str">
        <v>Non-Indexable</v>
      </c>
      <c r="F88" t="str">
        <v>noindex</v>
      </c>
      <c r="G88" t="str">
        <v>September 13, 2025 - PMB UTama</v>
      </c>
      <c r="H88">
        <v>30</v>
      </c>
      <c r="I88">
        <v>305</v>
      </c>
      <c r="J88">
        <v>0</v>
      </c>
      <c r="K88">
        <v>0</v>
      </c>
      <c r="L88">
        <v>0</v>
      </c>
      <c r="M88">
        <v>0</v>
      </c>
      <c r="N88">
        <v>0</v>
      </c>
      <c r="O88" t="str">
        <v>The Rapid Advancement of Digital Technology</v>
      </c>
      <c r="P88">
        <v>43</v>
      </c>
      <c r="Q88" t="str">
        <v>Democracy in Indonesia: Why It Feels Weak at the Grassroots</v>
      </c>
      <c r="R88">
        <v>59</v>
      </c>
      <c r="S88" t="str">
        <v>Search</v>
      </c>
      <c r="T88">
        <v>6</v>
      </c>
      <c r="U88" t="str">
        <v>Categories</v>
      </c>
      <c r="V88">
        <v>10</v>
      </c>
      <c r="W88" t="str">
        <v>noindex, follow</v>
      </c>
      <c r="X88">
        <v>0</v>
      </c>
      <c r="Y88">
        <v>0</v>
      </c>
      <c r="Z88">
        <v>0</v>
      </c>
      <c r="AA88">
        <v>0</v>
      </c>
      <c r="AB88">
        <v>0</v>
      </c>
      <c r="AC88">
        <v>0</v>
      </c>
      <c r="AD88">
        <v>0</v>
      </c>
      <c r="AE88">
        <v>0</v>
      </c>
      <c r="AF88">
        <v>167064</v>
      </c>
      <c r="AG88">
        <v>33781</v>
      </c>
      <c r="AH88">
        <v>3225393</v>
      </c>
      <c r="AI88">
        <v>1143418</v>
      </c>
      <c r="AJ88" t="str">
        <v>F</v>
      </c>
      <c r="AK88">
        <v>237</v>
      </c>
      <c r="AL88">
        <v>61</v>
      </c>
      <c r="AM88">
        <v>3885</v>
      </c>
      <c r="AN88">
        <v>64033</v>
      </c>
      <c r="AO88" t="str">
        <v>Normal</v>
      </c>
      <c r="AP88">
        <v>1426</v>
      </c>
      <c r="AQ88">
        <v>3</v>
      </c>
      <c r="AR88">
        <v>3</v>
      </c>
      <c r="AS88">
        <v>0</v>
      </c>
      <c r="AT88">
        <v>11</v>
      </c>
      <c r="AU88">
        <v>6</v>
      </c>
      <c r="AV88">
        <v>1</v>
      </c>
      <c r="AW88">
        <v>6900</v>
      </c>
      <c r="AX88">
        <v>131</v>
      </c>
      <c r="AY88">
        <v>40</v>
      </c>
      <c r="AZ88">
        <v>0</v>
      </c>
      <c r="BA88">
        <v>8</v>
      </c>
      <c r="BB88">
        <v>7</v>
      </c>
      <c r="BC88">
        <v>2</v>
      </c>
      <c r="BD88">
        <v>0</v>
      </c>
      <c r="BE88">
        <v>0</v>
      </c>
      <c r="BF88">
        <v>0</v>
      </c>
      <c r="BG88">
        <v>0</v>
      </c>
      <c r="BH88" t="str">
        <v>96fee2ad61e87726271d8c3df800faa0</v>
      </c>
      <c r="BI88">
        <v>2724</v>
      </c>
      <c r="BJ88" t="str">
        <v>Saturday, 15-Aug-2026 10:05:18 GMT</v>
      </c>
      <c r="BK88">
        <v>0</v>
      </c>
      <c r="BL88">
        <v>0</v>
      </c>
      <c r="BM88">
        <v>0</v>
      </c>
      <c r="BN88" t="str">
        <v>en-US</v>
      </c>
      <c r="BO88" t="str">
        <v>None</v>
      </c>
      <c r="BP88">
        <v>0</v>
      </c>
      <c r="BQ88" t="str">
        <v>https://pmb.widyatama.ac.id/2025/09/13/</v>
      </c>
      <c r="BR88">
        <v>46249.71197916667</v>
      </c>
      <c r="BZ88" t="str">
        <v>https://pmb.widyatama.ac.id/2025/09/13/</v>
      </c>
      <c r="CA88" t="str">
        <v>Non-Indexable</v>
      </c>
      <c r="CB88" t="str">
        <v>noindex</v>
      </c>
      <c r="CC88" t="str">
        <v>Other</v>
      </c>
      <c r="CD88" t="str">
        <v>Main PMB Website</v>
      </c>
      <c r="CE88" t="str">
        <v>Yes</v>
      </c>
      <c r="CV88" t="str">
        <v>Content Review</v>
      </c>
      <c r="DG88" t="str">
        <v>Content Review</v>
      </c>
      <c r="DV88" t="str">
        <v>Content Audit</v>
      </c>
      <c r="DW88" t="str">
        <v>Yes</v>
      </c>
      <c r="EA88" t="str">
        <v>P4 - Content Audit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F9FDA-1564-4C0C-90C3-19216D5114AE}">
  <dimension ref="A1:N88"/>
  <sheetViews>
    <sheetView topLeftCell="B1" workbookViewId="0">
      <selection sqref="A1:K88"/>
    </sheetView>
  </sheetViews>
  <sheetFormatPr defaultRowHeight="14.4"/>
  <cols>
    <col min="1" max="1" width="7.44140625" bestFit="1" customWidth="1"/>
    <col min="2" max="2" width="19.5546875" customWidth="1"/>
    <col min="3" max="3" width="18.88671875" customWidth="1"/>
    <col min="4" max="4" width="11" bestFit="1" customWidth="1"/>
    <col min="5" max="5" width="9.88671875" bestFit="1" customWidth="1"/>
    <col min="6" max="6" width="15.77734375" bestFit="1" customWidth="1"/>
    <col min="7" max="7" width="9.77734375" bestFit="1" customWidth="1"/>
    <col min="8" max="8" width="14.21875" bestFit="1" customWidth="1"/>
    <col min="9" max="9" width="18.109375" bestFit="1" customWidth="1"/>
    <col min="10" max="10" width="16.88671875" bestFit="1" customWidth="1"/>
    <col min="11" max="11" width="10.77734375" bestFit="1" customWidth="1"/>
    <col min="13" max="13" width="26.6640625" bestFit="1" customWidth="1"/>
  </cols>
  <sheetData>
    <row r="1" spans="1:14">
      <c r="A1" t="s">
        <v>734</v>
      </c>
      <c r="B1" t="s">
        <v>709</v>
      </c>
      <c r="C1" t="s">
        <v>735</v>
      </c>
      <c r="D1" t="s">
        <v>736</v>
      </c>
      <c r="E1" t="s">
        <v>4</v>
      </c>
      <c r="F1" t="s">
        <v>737</v>
      </c>
      <c r="G1" t="s">
        <v>738</v>
      </c>
      <c r="H1" t="s">
        <v>739</v>
      </c>
      <c r="I1" t="s">
        <v>740</v>
      </c>
      <c r="J1" t="s">
        <v>741</v>
      </c>
      <c r="K1" t="s">
        <v>742</v>
      </c>
      <c r="M1" t="s">
        <v>743</v>
      </c>
      <c r="N1" t="s">
        <v>744</v>
      </c>
    </row>
    <row r="2" spans="1:14">
      <c r="A2" t="str" cm="1">
        <f t="array" ref="A2:A88">"P"&amp;TEXT(_xlfn.SEQUENCE(ROWS(_xlfn.ANCHORARRAY(B2))),"000")</f>
        <v>P001</v>
      </c>
      <c r="B2" t="str" cm="1">
        <f t="array" ref="B2:B88">_xlfn.ANCHORARRAY(PAGE_INVENTORY!BZ2)</f>
        <v>https://pmb.widyatama.ac.id/</v>
      </c>
      <c r="C2" t="str" cm="1">
        <f t="array" ref="C2:C88">_xlfn.XLOOKUP(_xlfn.ANCHORARRAY(B2),tblCrawl[Address],tblCrawl[Title 1],"Title tidak ditemukan")</f>
        <v>Home - PMB UTama</v>
      </c>
      <c r="D2" cm="1">
        <f t="array" ref="D2:D88">_xlfn.XLOOKUP(_xlfn.ANCHORARRAY(B2),tblCrawl[Address],tblCrawl[Status Code],"Status tidak ditemukan")</f>
        <v>200</v>
      </c>
      <c r="E2" t="str" cm="1">
        <f t="array" ref="E2:E88">_xlfn.XLOOKUP(_xlfn.ANCHORARRAY(B2),tblCrawl[Address],tblCrawl[Indexability],"Indexability tidak ditemukan")</f>
        <v>Indexable</v>
      </c>
      <c r="F2" cm="1">
        <f t="array" ref="F2:F88">_xlfn.XLOOKUP(_xlfn.ANCHORARRAY(B2),tblCrawl[Address],tblCrawl[Indexability Status],"Status indexability tidak ditemukan")</f>
        <v>0</v>
      </c>
      <c r="G2" t="str" cm="1">
        <f t="array" ref="G2:G88">_xlfn.XLOOKUP(_xlfn.ANCHORARRAY(B2),_xlfn.ANCHORARRAY(PAGE_INVENTORY!BZ2),_xlfn.ANCHORARRAY(PAGE_INVENTORY!CD2),"Site Scope tidak ditemukan")</f>
        <v>Main PMB Website</v>
      </c>
      <c r="H2" t="str" cm="1">
        <f t="array" ref="H2:H88">_xlfn.XLOOKUP(_xlfn.ANCHORARRAY(B2),_xlfn.ANCHORARRAY(PAGE_INVENTORY!BZ2),_xlfn.ANCHORARRAY(PAGE_INVENTORY!DG2),"Page Type tidak ditemukan")</f>
        <v>Homepage</v>
      </c>
      <c r="I2" t="str" cm="1">
        <f t="array" ref="I2:I88">_xlfn.XLOOKUP(_xlfn.ANCHORARRAY(B2),_xlfn.ANCHORARRAY(PAGE_INVENTORY!BZ2),_xlfn.ANCHORARRAY(PAGE_INVENTORY!DV2),"Segment tidak ditemukan")</f>
        <v>Core PMB Website</v>
      </c>
      <c r="J2" t="str" cm="1">
        <f t="array" ref="J2:J88">_xlfn.XLOOKUP(_xlfn.ANCHORARRAY(B2),_xlfn.ANCHORARRAY(PAGE_INVENTORY!BZ2),_xlfn.ANCHORARRAY(PAGE_INVENTORY!DW2),"Include status tidak ditemukan")</f>
        <v>Yes</v>
      </c>
      <c r="K2" t="str" cm="1">
        <f t="array" ref="K2:K88">_xlfn.XLOOKUP(_xlfn.ANCHORARRAY(B2),_xlfn.ANCHORARRAY(PAGE_INVENTORY!BZ2),_xlfn.ANCHORARRAY(PAGE_INVENTORY!EA2),"Priority tidak ditemukan")</f>
        <v>P1 - Critical</v>
      </c>
      <c r="M2" t="s">
        <v>745</v>
      </c>
      <c r="N2">
        <f>ROWS(_xlfn.ANCHORARRAY(B2))</f>
        <v>87</v>
      </c>
    </row>
    <row r="3" spans="1:14">
      <c r="A3" t="str">
        <v>P002</v>
      </c>
      <c r="B3" t="str">
        <v>https://pmb.widyatama.ac.id/petunjuk-pendaftaran/</v>
      </c>
      <c r="C3" t="str">
        <v>Petunjuk Pendaftaran - PMB UTama</v>
      </c>
      <c r="D3">
        <v>200</v>
      </c>
      <c r="E3" t="str">
        <v>Indexable</v>
      </c>
      <c r="F3">
        <v>0</v>
      </c>
      <c r="G3" t="str">
        <v>Main PMB Website</v>
      </c>
      <c r="H3" t="str">
        <v>Admission</v>
      </c>
      <c r="I3" t="str">
        <v>Core PMB Website</v>
      </c>
      <c r="J3" t="str">
        <v>Yes</v>
      </c>
      <c r="K3" t="str">
        <v>P1 - Critical</v>
      </c>
      <c r="M3" t="s">
        <v>746</v>
      </c>
      <c r="N3">
        <f>COUNTBLANK(_xlfn.ANCHORARRAY(B2))</f>
        <v>0</v>
      </c>
    </row>
    <row r="4" spans="1:14">
      <c r="A4" t="str">
        <v>P003</v>
      </c>
      <c r="B4" t="str">
        <v>https://pmb.widyatama.ac.id/jenjang-pendidikan/</v>
      </c>
      <c r="C4" t="str">
        <v>Jenjang Pendidikan - PMB UTama</v>
      </c>
      <c r="D4">
        <v>200</v>
      </c>
      <c r="E4" t="str">
        <v>Indexable</v>
      </c>
      <c r="F4">
        <v>0</v>
      </c>
      <c r="G4" t="str">
        <v>Main PMB Website</v>
      </c>
      <c r="H4" t="str">
        <v>Information</v>
      </c>
      <c r="I4" t="str">
        <v>Core PMB Website</v>
      </c>
      <c r="J4" t="str">
        <v>Yes</v>
      </c>
      <c r="K4" t="str">
        <v>P2 - High</v>
      </c>
      <c r="M4" t="s">
        <v>747</v>
      </c>
      <c r="N4">
        <f>ROWS(_xlfn.UNIQUE(_xlfn.ANCHORARRAY(B2)))</f>
        <v>87</v>
      </c>
    </row>
    <row r="5" spans="1:14">
      <c r="A5" t="str">
        <v>P004</v>
      </c>
      <c r="B5" t="str">
        <v>https://pmb.widyatama.ac.id/privacy-policy/</v>
      </c>
      <c r="C5" t="str">
        <v>Privacy Policy - PMB UTama</v>
      </c>
      <c r="D5">
        <v>200</v>
      </c>
      <c r="E5" t="str">
        <v>Indexable</v>
      </c>
      <c r="F5">
        <v>0</v>
      </c>
      <c r="G5" t="str">
        <v>Main PMB Website</v>
      </c>
      <c r="H5" t="str">
        <v>Policy</v>
      </c>
      <c r="I5" t="str">
        <v>Core PMB Website</v>
      </c>
      <c r="J5" t="str">
        <v>Yes</v>
      </c>
      <c r="K5" t="str">
        <v>P3 - Standard</v>
      </c>
      <c r="M5" t="s">
        <v>748</v>
      </c>
      <c r="N5">
        <f>ROWS(_xlfn.ANCHORARRAY(B2))-ROWS(_xlfn.UNIQUE(_xlfn.ANCHORARRAY(B2)))</f>
        <v>0</v>
      </c>
    </row>
    <row r="6" spans="1:14">
      <c r="A6" t="str">
        <v>P005</v>
      </c>
      <c r="B6" t="str">
        <v>https://pmb.widyatama.ac.id/cookie-policy/</v>
      </c>
      <c r="C6" t="str">
        <v>cookie policy - PMB UTama</v>
      </c>
      <c r="D6">
        <v>200</v>
      </c>
      <c r="E6" t="str">
        <v>Indexable</v>
      </c>
      <c r="F6">
        <v>0</v>
      </c>
      <c r="G6" t="str">
        <v>Main PMB Website</v>
      </c>
      <c r="H6" t="str">
        <v>Policy</v>
      </c>
      <c r="I6" t="str">
        <v>Core PMB Website</v>
      </c>
      <c r="J6" t="str">
        <v>Yes</v>
      </c>
      <c r="K6" t="str">
        <v>P3 - Standard</v>
      </c>
      <c r="M6" t="s">
        <v>749</v>
      </c>
      <c r="N6">
        <f>COUNTBLANK(_xlfn.ANCHORARRAY(A2))</f>
        <v>0</v>
      </c>
    </row>
    <row r="7" spans="1:14">
      <c r="A7" t="str">
        <v>P006</v>
      </c>
      <c r="B7" t="str">
        <v>https://pmb.widyatama.ac.id/biaya-kuliah-pascasarjana/</v>
      </c>
      <c r="C7" t="str">
        <v>Biaya Kuliah Pascasarjana - PMB UTama</v>
      </c>
      <c r="D7">
        <v>200</v>
      </c>
      <c r="E7" t="str">
        <v>Indexable</v>
      </c>
      <c r="F7">
        <v>0</v>
      </c>
      <c r="G7" t="str">
        <v>Main PMB Website</v>
      </c>
      <c r="H7" t="str">
        <v>Pricing</v>
      </c>
      <c r="I7" t="str">
        <v>Core PMB Website</v>
      </c>
      <c r="J7" t="str">
        <v>Yes</v>
      </c>
      <c r="K7" t="str">
        <v>P1 - Critical</v>
      </c>
      <c r="M7" t="s">
        <v>750</v>
      </c>
      <c r="N7">
        <f>COUNTBLANK(_xlfn.ANCHORARRAY(C2))</f>
        <v>0</v>
      </c>
    </row>
    <row r="8" spans="1:14">
      <c r="A8" t="str">
        <v>P007</v>
      </c>
      <c r="B8" t="str">
        <v>https://pmb.widyatama.ac.id/mahasiswa-internasional/</v>
      </c>
      <c r="C8" t="str">
        <v>Mahasiswa Internasional - PMB UTama</v>
      </c>
      <c r="D8">
        <v>200</v>
      </c>
      <c r="E8" t="str">
        <v>Indexable</v>
      </c>
      <c r="F8">
        <v>0</v>
      </c>
      <c r="G8" t="str">
        <v>Main PMB Website</v>
      </c>
      <c r="H8" t="str">
        <v>International</v>
      </c>
      <c r="I8" t="str">
        <v>Core PMB Website</v>
      </c>
      <c r="J8" t="str">
        <v>Yes</v>
      </c>
      <c r="K8" t="str">
        <v>P2 - High</v>
      </c>
      <c r="M8" t="s">
        <v>751</v>
      </c>
      <c r="N8" s="10">
        <f>COUNTBLANK(_xlfn.ANCHORARRAY(D2))</f>
        <v>0</v>
      </c>
    </row>
    <row r="9" spans="1:14">
      <c r="A9" t="str">
        <v>P008</v>
      </c>
      <c r="B9" t="str">
        <v>https://pmb.widyatama.ac.id/output-lulusan/</v>
      </c>
      <c r="C9" t="str">
        <v>Output Lulusan - PMB UTama</v>
      </c>
      <c r="D9">
        <v>200</v>
      </c>
      <c r="E9" t="str">
        <v>Indexable</v>
      </c>
      <c r="F9">
        <v>0</v>
      </c>
      <c r="G9" t="str">
        <v>Main PMB Website</v>
      </c>
      <c r="H9" t="str">
        <v>Information</v>
      </c>
      <c r="I9" t="str">
        <v>Core PMB Website</v>
      </c>
      <c r="J9" t="str">
        <v>Yes</v>
      </c>
      <c r="K9" t="str">
        <v>P2 - High</v>
      </c>
      <c r="M9" t="s">
        <v>752</v>
      </c>
      <c r="N9" s="10">
        <f>COUNTBLANK(_xlfn.ANCHORARRAY(E2))</f>
        <v>0</v>
      </c>
    </row>
    <row r="10" spans="1:14">
      <c r="A10" t="str">
        <v>P009</v>
      </c>
      <c r="B10" t="str">
        <v>https://pmb.widyatama.ac.id/beasiswa-mahasiswa-aktif/</v>
      </c>
      <c r="C10" t="str">
        <v>Beasiswa Mahasiswa Aktif - PMB UTama</v>
      </c>
      <c r="D10">
        <v>200</v>
      </c>
      <c r="E10" t="str">
        <v>Indexable</v>
      </c>
      <c r="F10">
        <v>0</v>
      </c>
      <c r="G10" t="str">
        <v>Main PMB Website</v>
      </c>
      <c r="H10" t="str">
        <v>Campaign</v>
      </c>
      <c r="I10" t="str">
        <v>Core PMB Website</v>
      </c>
      <c r="J10" t="str">
        <v>Yes</v>
      </c>
      <c r="K10" t="str">
        <v>P2 - High</v>
      </c>
      <c r="M10" t="s">
        <v>753</v>
      </c>
      <c r="N10">
        <f>COUNTIFS(_xlfn.ANCHORARRAY(E2),"Non-Indexable",_xlfn.ANCHORARRAY(F2),"")</f>
        <v>0</v>
      </c>
    </row>
    <row r="11" spans="1:14">
      <c r="A11" t="str">
        <v>P010</v>
      </c>
      <c r="B11" t="str">
        <v>https://pmb.widyatama.ac.id/program-rpl/</v>
      </c>
      <c r="C11" t="str">
        <v>Program RPL - PMB UTama</v>
      </c>
      <c r="D11">
        <v>200</v>
      </c>
      <c r="E11" t="str">
        <v>Indexable</v>
      </c>
      <c r="F11">
        <v>0</v>
      </c>
      <c r="G11" t="str">
        <v>Main PMB Website</v>
      </c>
      <c r="H11" t="str">
        <v>Program</v>
      </c>
      <c r="I11" t="str">
        <v>Core PMB Website</v>
      </c>
      <c r="J11" t="str">
        <v>Yes</v>
      </c>
      <c r="K11" t="str">
        <v>P1 - Critical</v>
      </c>
      <c r="M11" t="s">
        <v>754</v>
      </c>
      <c r="N11" s="10">
        <f>COUNTBLANK(_xlfn.ANCHORARRAY(G2))</f>
        <v>0</v>
      </c>
    </row>
    <row r="12" spans="1:14">
      <c r="A12" t="str">
        <v>P011</v>
      </c>
      <c r="B12" t="str">
        <v>https://pmb.widyatama.ac.id/biaya-kuliah-kelas-karyawan/</v>
      </c>
      <c r="C12" t="str">
        <v>Biaya Kuliah Kelas Karyawan - PMB UTama</v>
      </c>
      <c r="D12">
        <v>200</v>
      </c>
      <c r="E12" t="str">
        <v>Indexable</v>
      </c>
      <c r="F12">
        <v>0</v>
      </c>
      <c r="G12" t="str">
        <v>Main PMB Website</v>
      </c>
      <c r="H12" t="str">
        <v>Pricing</v>
      </c>
      <c r="I12" t="str">
        <v>Core PMB Website</v>
      </c>
      <c r="J12" t="str">
        <v>Yes</v>
      </c>
      <c r="K12" t="str">
        <v>P1 - Critical</v>
      </c>
      <c r="M12" t="s">
        <v>755</v>
      </c>
      <c r="N12" s="10">
        <f>COUNTBLANK(_xlfn.ANCHORARRAY(H2))</f>
        <v>0</v>
      </c>
    </row>
    <row r="13" spans="1:14">
      <c r="A13" t="str">
        <v>P012</v>
      </c>
      <c r="B13" t="str">
        <v>https://pmb.widyatama.ac.id/jurusan/</v>
      </c>
      <c r="C13" t="str">
        <v>Jurusan - PMB UTama</v>
      </c>
      <c r="D13">
        <v>200</v>
      </c>
      <c r="E13" t="str">
        <v>Indexable</v>
      </c>
      <c r="F13">
        <v>0</v>
      </c>
      <c r="G13" t="str">
        <v>Main PMB Website</v>
      </c>
      <c r="H13" t="str">
        <v>Program</v>
      </c>
      <c r="I13" t="str">
        <v>Core PMB Website</v>
      </c>
      <c r="J13" t="str">
        <v>Yes</v>
      </c>
      <c r="K13" t="str">
        <v>P1 - Critical</v>
      </c>
      <c r="M13" t="s">
        <v>756</v>
      </c>
      <c r="N13" s="10">
        <f>COUNTBLANK(_xlfn.ANCHORARRAY(I2))</f>
        <v>0</v>
      </c>
    </row>
    <row r="14" spans="1:14">
      <c r="A14" t="str">
        <v>P013</v>
      </c>
      <c r="B14" t="str">
        <v>https://pmb.widyatama.ac.id/blog/</v>
      </c>
      <c r="C14" t="str">
        <v>Blog - PMB UTama</v>
      </c>
      <c r="D14">
        <v>200</v>
      </c>
      <c r="E14" t="str">
        <v>Indexable</v>
      </c>
      <c r="F14">
        <v>0</v>
      </c>
      <c r="G14" t="str">
        <v>Main PMB Website</v>
      </c>
      <c r="H14" t="str">
        <v>Content</v>
      </c>
      <c r="I14" t="str">
        <v>Core PMB Website</v>
      </c>
      <c r="J14" t="str">
        <v>Yes</v>
      </c>
      <c r="K14" t="str">
        <v>P3 - Standard</v>
      </c>
      <c r="M14" t="s">
        <v>757</v>
      </c>
      <c r="N14" s="10">
        <f>COUNTBLANK(_xlfn.ANCHORARRAY(J2))</f>
        <v>0</v>
      </c>
    </row>
    <row r="15" spans="1:14">
      <c r="A15" t="str">
        <v>P014</v>
      </c>
      <c r="B15" t="str">
        <v>https://pmb.widyatama.ac.id/biaya-kuliah-kelas-reguler/</v>
      </c>
      <c r="C15" t="str">
        <v>Biaya Kuliah Kelas Reguler - PMB UTama</v>
      </c>
      <c r="D15">
        <v>200</v>
      </c>
      <c r="E15" t="str">
        <v>Indexable</v>
      </c>
      <c r="F15">
        <v>0</v>
      </c>
      <c r="G15" t="str">
        <v>Main PMB Website</v>
      </c>
      <c r="H15" t="str">
        <v>Pricing</v>
      </c>
      <c r="I15" t="str">
        <v>Core PMB Website</v>
      </c>
      <c r="J15" t="str">
        <v>Yes</v>
      </c>
      <c r="K15" t="str">
        <v>P1 - Critical</v>
      </c>
      <c r="M15" t="s">
        <v>758</v>
      </c>
      <c r="N15" s="10">
        <f>COUNTBLANK(_xlfn.ANCHORARRAY(K2))</f>
        <v>0</v>
      </c>
    </row>
    <row r="16" spans="1:14">
      <c r="A16" t="str">
        <v>P015</v>
      </c>
      <c r="B16" t="str">
        <v>https://online.pmb.widyatama.ac.id/</v>
      </c>
      <c r="C16" t="str">
        <v>PMB | Universitas Widyatama</v>
      </c>
      <c r="D16">
        <v>200</v>
      </c>
      <c r="E16" t="str">
        <v>Indexable</v>
      </c>
      <c r="F16">
        <v>0</v>
      </c>
      <c r="G16" t="str">
        <v>Online Registration System</v>
      </c>
      <c r="H16" t="str">
        <v>Registration System</v>
      </c>
      <c r="I16" t="str">
        <v>Registration System</v>
      </c>
      <c r="J16" t="str">
        <v>Yes</v>
      </c>
      <c r="K16" t="str">
        <v>P1 - Critical</v>
      </c>
      <c r="M16" t="s">
        <v>759</v>
      </c>
      <c r="N16" cm="1">
        <f t="array" ref="N16">SUMPRODUCT(--(_xlfn.ANCHORARRAY(H2)="Content Review"),--(_xlfn.ANCHORARRAY(I2)&lt;&gt;"Content Audit"))</f>
        <v>0</v>
      </c>
    </row>
    <row r="17" spans="1:14">
      <c r="A17" t="str">
        <v>P016</v>
      </c>
      <c r="B17" t="str">
        <v>https://pmb.widyatama.ac.id/aktivitas-civitas/</v>
      </c>
      <c r="C17" t="str">
        <v>Aktivitas Civitas - PMB UTama</v>
      </c>
      <c r="D17">
        <v>200</v>
      </c>
      <c r="E17" t="str">
        <v>Indexable</v>
      </c>
      <c r="F17">
        <v>0</v>
      </c>
      <c r="G17" t="str">
        <v>Main PMB Website</v>
      </c>
      <c r="H17" t="str">
        <v>Campus Life</v>
      </c>
      <c r="I17" t="str">
        <v>Core PMB Website</v>
      </c>
      <c r="J17" t="str">
        <v>Yes</v>
      </c>
      <c r="K17" t="str">
        <v>P2 - High</v>
      </c>
      <c r="M17" t="s">
        <v>760</v>
      </c>
      <c r="N17" cm="1">
        <f t="array" ref="N17">SUMPRODUCT(--(_xlfn.ANCHORARRAY(I2)="Content Audit"),--(_xlfn.ANCHORARRAY(H2)&lt;&gt;"Content Review"))</f>
        <v>0</v>
      </c>
    </row>
    <row r="18" spans="1:14">
      <c r="A18" t="str">
        <v>P017</v>
      </c>
      <c r="B18" t="str">
        <v>https://pmb.widyatama.ac.id/program-pascasarjana/</v>
      </c>
      <c r="C18" t="str">
        <v>Program Pascasarjana - PMB UTama</v>
      </c>
      <c r="D18">
        <v>200</v>
      </c>
      <c r="E18" t="str">
        <v>Indexable</v>
      </c>
      <c r="F18">
        <v>0</v>
      </c>
      <c r="G18" t="str">
        <v>Main PMB Website</v>
      </c>
      <c r="H18" t="str">
        <v>Program</v>
      </c>
      <c r="I18" t="str">
        <v>Core PMB Website</v>
      </c>
      <c r="J18" t="str">
        <v>Yes</v>
      </c>
      <c r="K18" t="str">
        <v>P1 - Critical</v>
      </c>
      <c r="M18" t="s">
        <v>761</v>
      </c>
      <c r="N18" cm="1">
        <f t="array" ref="N18">SUMPRODUCT(--(_xlfn.ANCHORARRAY(G2)="Online Registration System"),--(_xlfn.ANCHORARRAY(I2)&lt;&gt;"Registration System"))</f>
        <v>0</v>
      </c>
    </row>
    <row r="19" spans="1:14">
      <c r="A19" t="str">
        <v>P018</v>
      </c>
      <c r="B19" t="str">
        <v>https://pmb.widyatama.ac.id/cek-jalur-pendaftaran/</v>
      </c>
      <c r="C19" t="str">
        <v>Cek Jalur Pendaftaran - PMB UTama</v>
      </c>
      <c r="D19">
        <v>200</v>
      </c>
      <c r="E19" t="str">
        <v>Indexable</v>
      </c>
      <c r="F19">
        <v>0</v>
      </c>
      <c r="G19" t="str">
        <v>Main PMB Website</v>
      </c>
      <c r="H19" t="str">
        <v>Admission</v>
      </c>
      <c r="I19" t="str">
        <v>Core PMB Website</v>
      </c>
      <c r="J19" t="str">
        <v>Yes</v>
      </c>
      <c r="K19" t="str">
        <v>P1 - Critical</v>
      </c>
      <c r="M19" t="s">
        <v>762</v>
      </c>
      <c r="N19">
        <f>COUNTIF(_xlfn.ANCHORARRAY(J2),"&lt;&gt;Yes")</f>
        <v>0</v>
      </c>
    </row>
    <row r="20" spans="1:14">
      <c r="A20" t="str">
        <v>P019</v>
      </c>
      <c r="B20" t="str">
        <v>https://pmb.widyatama.ac.id/program-reguler/</v>
      </c>
      <c r="C20" t="str">
        <v>Program Reguler - PMB UTama</v>
      </c>
      <c r="D20">
        <v>200</v>
      </c>
      <c r="E20" t="str">
        <v>Indexable</v>
      </c>
      <c r="F20">
        <v>0</v>
      </c>
      <c r="G20" t="str">
        <v>Main PMB Website</v>
      </c>
      <c r="H20" t="str">
        <v>Program</v>
      </c>
      <c r="I20" t="str">
        <v>Core PMB Website</v>
      </c>
      <c r="J20" t="str">
        <v>Yes</v>
      </c>
      <c r="K20" t="str">
        <v>P1 - Critical</v>
      </c>
      <c r="M20" t="s">
        <v>763</v>
      </c>
      <c r="N20" cm="1">
        <f t="array" ref="N20">SUMPRODUCT(--(_xlfn.ANCHORARRAY(I2)="Content Audit"),--(_xlfn.ANCHORARRAY(K2)&lt;&gt;"P4 - Content Audit"))</f>
        <v>0</v>
      </c>
    </row>
    <row r="21" spans="1:14">
      <c r="A21" t="str">
        <v>P020</v>
      </c>
      <c r="B21" t="str">
        <v>https://pmb.widyatama.ac.id/program-kelas-karyawan/</v>
      </c>
      <c r="C21" t="str">
        <v>Program Kelas Karyawan - PMB UTama</v>
      </c>
      <c r="D21">
        <v>200</v>
      </c>
      <c r="E21" t="str">
        <v>Indexable</v>
      </c>
      <c r="F21">
        <v>0</v>
      </c>
      <c r="G21" t="str">
        <v>Main PMB Website</v>
      </c>
      <c r="H21" t="str">
        <v>Program</v>
      </c>
      <c r="I21" t="str">
        <v>Core PMB Website</v>
      </c>
      <c r="J21" t="str">
        <v>Yes</v>
      </c>
      <c r="K21" t="str">
        <v>P1 - Critical</v>
      </c>
      <c r="M21" t="s">
        <v>764</v>
      </c>
      <c r="N21" cm="1">
        <f t="array" ref="N21">SUMPRODUCT(--(_xlfn.ANCHORARRAY(K2)="P4 - Content Audit"),--(_xlfn.ANCHORARRAY(I2)&lt;&gt;"Content Audit"))</f>
        <v>0</v>
      </c>
    </row>
    <row r="22" spans="1:14">
      <c r="A22" t="str">
        <v>P021</v>
      </c>
      <c r="B22" t="str">
        <v>https://pmb.widyatama.ac.id/fasilitas/</v>
      </c>
      <c r="C22" t="str">
        <v>Fasilitas - PMB UTama</v>
      </c>
      <c r="D22">
        <v>200</v>
      </c>
      <c r="E22" t="str">
        <v>Indexable</v>
      </c>
      <c r="F22">
        <v>0</v>
      </c>
      <c r="G22" t="str">
        <v>Main PMB Website</v>
      </c>
      <c r="H22" t="str">
        <v>Campus Life</v>
      </c>
      <c r="I22" t="str">
        <v>Core PMB Website</v>
      </c>
      <c r="J22" t="str">
        <v>Yes</v>
      </c>
      <c r="K22" t="str">
        <v>P2 - High</v>
      </c>
    </row>
    <row r="23" spans="1:14">
      <c r="A23" t="str">
        <v>P022</v>
      </c>
      <c r="B23" t="str">
        <v>https://pmb.widyatama.ac.id/jalur-seleksi/</v>
      </c>
      <c r="C23" t="str">
        <v>Jalur Seleksi - PMB UTama</v>
      </c>
      <c r="D23">
        <v>200</v>
      </c>
      <c r="E23" t="str">
        <v>Indexable</v>
      </c>
      <c r="F23">
        <v>0</v>
      </c>
      <c r="G23" t="str">
        <v>Main PMB Website</v>
      </c>
      <c r="H23" t="str">
        <v>Admission</v>
      </c>
      <c r="I23" t="str">
        <v>Core PMB Website</v>
      </c>
      <c r="J23" t="str">
        <v>Yes</v>
      </c>
      <c r="K23" t="str">
        <v>P1 - Critical</v>
      </c>
      <c r="M23" t="s">
        <v>765</v>
      </c>
      <c r="N23" t="str">
        <f>IF(
AND(
N2=87,
N3=0,
N4=87,
N5=0,
N6=0,
N8=0,
N9=0,
N10=0,
N11=0,
N12=0,
N13=0,
N14=0,
N15=0,
SUM(N16:N21)=0
),
"PASS",
"REVIEW"
)</f>
        <v>PASS</v>
      </c>
    </row>
    <row r="24" spans="1:14">
      <c r="A24" t="str">
        <v>P023</v>
      </c>
      <c r="B24" t="str">
        <v>https://pmb.widyatama.ac.id/biaya-kuliah-rpl/</v>
      </c>
      <c r="C24" t="str">
        <v>Biaya Kuliah RPL - PMB UTama</v>
      </c>
      <c r="D24">
        <v>200</v>
      </c>
      <c r="E24" t="str">
        <v>Indexable</v>
      </c>
      <c r="F24">
        <v>0</v>
      </c>
      <c r="G24" t="str">
        <v>Main PMB Website</v>
      </c>
      <c r="H24" t="str">
        <v>Pricing</v>
      </c>
      <c r="I24" t="str">
        <v>Core PMB Website</v>
      </c>
      <c r="J24" t="str">
        <v>Yes</v>
      </c>
      <c r="K24" t="str">
        <v>P1 - Critical</v>
      </c>
      <c r="M24" t="s">
        <v>766</v>
      </c>
      <c r="N24" t="str">
        <f>IF(N7=0,"OK",N7&amp;" URL perlu review Page Title")</f>
        <v>OK</v>
      </c>
    </row>
    <row r="25" spans="1:14">
      <c r="A25" t="str">
        <v>P024</v>
      </c>
      <c r="B25" t="str">
        <v>https://pmb.widyatama.ac.id/apresiasi-prestasi-mahasiswa/</v>
      </c>
      <c r="C25" t="str">
        <v>Apresiasi Prestasi Mahasiswa - PMB UTama</v>
      </c>
      <c r="D25">
        <v>200</v>
      </c>
      <c r="E25" t="str">
        <v>Indexable</v>
      </c>
      <c r="F25">
        <v>0</v>
      </c>
      <c r="G25" t="str">
        <v>Main PMB Website</v>
      </c>
      <c r="H25" t="str">
        <v>Campus Life</v>
      </c>
      <c r="I25" t="str">
        <v>Core PMB Website</v>
      </c>
      <c r="J25" t="str">
        <v>Yes</v>
      </c>
      <c r="K25" t="str">
        <v>P2 - High</v>
      </c>
    </row>
    <row r="26" spans="1:14">
      <c r="A26" t="str">
        <v>P025</v>
      </c>
      <c r="B26" t="str">
        <v>https://pmb.widyatama.ac.id/asuransi-mahasiswa/</v>
      </c>
      <c r="C26" t="str">
        <v>Asuransi Mahasiswa - PMB UTama</v>
      </c>
      <c r="D26">
        <v>200</v>
      </c>
      <c r="E26" t="str">
        <v>Indexable</v>
      </c>
      <c r="F26">
        <v>0</v>
      </c>
      <c r="G26" t="str">
        <v>Main PMB Website</v>
      </c>
      <c r="H26" t="str">
        <v>Campus Life</v>
      </c>
      <c r="I26" t="str">
        <v>Core PMB Website</v>
      </c>
      <c r="J26" t="str">
        <v>Yes</v>
      </c>
      <c r="K26" t="str">
        <v>P2 - High</v>
      </c>
    </row>
    <row r="27" spans="1:14">
      <c r="A27" t="str">
        <v>P026</v>
      </c>
      <c r="B27" t="str">
        <v>https://pmb.widyatama.ac.id/organisasi-kemahasiswaan/</v>
      </c>
      <c r="C27" t="str">
        <v>Organisasi Kemahasiswaan - PMB UTama</v>
      </c>
      <c r="D27">
        <v>200</v>
      </c>
      <c r="E27" t="str">
        <v>Indexable</v>
      </c>
      <c r="F27">
        <v>0</v>
      </c>
      <c r="G27" t="str">
        <v>Main PMB Website</v>
      </c>
      <c r="H27" t="str">
        <v>Campus Life</v>
      </c>
      <c r="I27" t="str">
        <v>Core PMB Website</v>
      </c>
      <c r="J27" t="str">
        <v>Yes</v>
      </c>
      <c r="K27" t="str">
        <v>P2 - High</v>
      </c>
    </row>
    <row r="28" spans="1:14">
      <c r="A28" t="str">
        <v>P027</v>
      </c>
      <c r="B28" t="str">
        <v>https://pmb.widyatama.ac.id/jalur-seleksi-unggulan/</v>
      </c>
      <c r="C28" t="str">
        <v>Jalur Seleksi Unggulan - PMB UTama</v>
      </c>
      <c r="D28">
        <v>200</v>
      </c>
      <c r="E28" t="str">
        <v>Indexable</v>
      </c>
      <c r="F28">
        <v>0</v>
      </c>
      <c r="G28" t="str">
        <v>Main PMB Website</v>
      </c>
      <c r="H28" t="str">
        <v>Admission</v>
      </c>
      <c r="I28" t="str">
        <v>Core PMB Website</v>
      </c>
      <c r="J28" t="str">
        <v>Yes</v>
      </c>
      <c r="K28" t="str">
        <v>P1 - Critical</v>
      </c>
    </row>
    <row r="29" spans="1:14">
      <c r="A29" t="str">
        <v>P028</v>
      </c>
      <c r="B29" t="str">
        <v>https://pmb.widyatama.ac.id/jalur-reguler-pendidikan-profesi/</v>
      </c>
      <c r="C29" t="str">
        <v>Jalur Reguler Pendidikan Profesi - PMB UTama</v>
      </c>
      <c r="D29">
        <v>200</v>
      </c>
      <c r="E29" t="str">
        <v>Indexable</v>
      </c>
      <c r="F29">
        <v>0</v>
      </c>
      <c r="G29" t="str">
        <v>Main PMB Website</v>
      </c>
      <c r="H29" t="str">
        <v>Admission</v>
      </c>
      <c r="I29" t="str">
        <v>Core PMB Website</v>
      </c>
      <c r="J29" t="str">
        <v>Yes</v>
      </c>
      <c r="K29" t="str">
        <v>P1 - Critical</v>
      </c>
    </row>
    <row r="30" spans="1:14">
      <c r="A30" t="str">
        <v>P029</v>
      </c>
      <c r="B30" t="str">
        <v>https://pmb.widyatama.ac.id/jalur-pasca-reguler-maksi/</v>
      </c>
      <c r="C30" t="str">
        <v>Jalur Pasca Reguler MAKSI - PMB UTama</v>
      </c>
      <c r="D30">
        <v>200</v>
      </c>
      <c r="E30" t="str">
        <v>Indexable</v>
      </c>
      <c r="F30">
        <v>0</v>
      </c>
      <c r="G30" t="str">
        <v>Main PMB Website</v>
      </c>
      <c r="H30" t="str">
        <v>Admission</v>
      </c>
      <c r="I30" t="str">
        <v>Core PMB Website</v>
      </c>
      <c r="J30" t="str">
        <v>Yes</v>
      </c>
      <c r="K30" t="str">
        <v>P1 - Critical</v>
      </c>
    </row>
    <row r="31" spans="1:14">
      <c r="A31" t="str">
        <v>P030</v>
      </c>
      <c r="B31" t="str">
        <v>https://pmb.widyatama.ac.id/jalur-pasca-reguler-mm/</v>
      </c>
      <c r="C31" t="str">
        <v>Jalur Pasca Reguler MM - PMB UTama</v>
      </c>
      <c r="D31">
        <v>200</v>
      </c>
      <c r="E31" t="str">
        <v>Indexable</v>
      </c>
      <c r="F31">
        <v>0</v>
      </c>
      <c r="G31" t="str">
        <v>Main PMB Website</v>
      </c>
      <c r="H31" t="str">
        <v>Admission</v>
      </c>
      <c r="I31" t="str">
        <v>Core PMB Website</v>
      </c>
      <c r="J31" t="str">
        <v>Yes</v>
      </c>
      <c r="K31" t="str">
        <v>P1 - Critical</v>
      </c>
    </row>
    <row r="32" spans="1:14">
      <c r="A32" t="str">
        <v>P031</v>
      </c>
      <c r="B32" t="str">
        <v>https://pmb.widyatama.ac.id/jalur-seleksi-mandiri/</v>
      </c>
      <c r="C32" t="str">
        <v>Jalur Seleksi Mandiri - PMB UTama</v>
      </c>
      <c r="D32">
        <v>200</v>
      </c>
      <c r="E32" t="str">
        <v>Indexable</v>
      </c>
      <c r="F32">
        <v>0</v>
      </c>
      <c r="G32" t="str">
        <v>Main PMB Website</v>
      </c>
      <c r="H32" t="str">
        <v>Admission</v>
      </c>
      <c r="I32" t="str">
        <v>Core PMB Website</v>
      </c>
      <c r="J32" t="str">
        <v>Yes</v>
      </c>
      <c r="K32" t="str">
        <v>P1 - Critical</v>
      </c>
    </row>
    <row r="33" spans="1:11">
      <c r="A33" t="str">
        <v>P032</v>
      </c>
      <c r="B33" t="str">
        <v>https://pmb.widyatama.ac.id/jalur-seleksi-pmdk/</v>
      </c>
      <c r="C33" t="str">
        <v>Jalur Seleksi PMDK - PMB UTama</v>
      </c>
      <c r="D33">
        <v>200</v>
      </c>
      <c r="E33" t="str">
        <v>Indexable</v>
      </c>
      <c r="F33">
        <v>0</v>
      </c>
      <c r="G33" t="str">
        <v>Main PMB Website</v>
      </c>
      <c r="H33" t="str">
        <v>Admission</v>
      </c>
      <c r="I33" t="str">
        <v>Core PMB Website</v>
      </c>
      <c r="J33" t="str">
        <v>Yes</v>
      </c>
      <c r="K33" t="str">
        <v>P1 - Critical</v>
      </c>
    </row>
    <row r="34" spans="1:11">
      <c r="A34" t="str">
        <v>P033</v>
      </c>
      <c r="B34" t="str">
        <v>https://pmb.widyatama.ac.id/jalur-seleksi-utama/</v>
      </c>
      <c r="C34" t="str">
        <v>Jalur Seleksi UTama - PMB UTama</v>
      </c>
      <c r="D34">
        <v>200</v>
      </c>
      <c r="E34" t="str">
        <v>Indexable</v>
      </c>
      <c r="F34">
        <v>0</v>
      </c>
      <c r="G34" t="str">
        <v>Main PMB Website</v>
      </c>
      <c r="H34" t="str">
        <v>Admission</v>
      </c>
      <c r="I34" t="str">
        <v>Core PMB Website</v>
      </c>
      <c r="J34" t="str">
        <v>Yes</v>
      </c>
      <c r="K34" t="str">
        <v>P1 - Critical</v>
      </c>
    </row>
    <row r="35" spans="1:11">
      <c r="A35" t="str">
        <v>P034</v>
      </c>
      <c r="B35" t="str">
        <v>https://pmb.widyatama.ac.id/jalur-doktoral-reguler/</v>
      </c>
      <c r="C35" t="str">
        <v>Jalur Doktoral Reguler - PMB UTama</v>
      </c>
      <c r="D35">
        <v>200</v>
      </c>
      <c r="E35" t="str">
        <v>Indexable</v>
      </c>
      <c r="F35">
        <v>0</v>
      </c>
      <c r="G35" t="str">
        <v>Main PMB Website</v>
      </c>
      <c r="H35" t="str">
        <v>Admission</v>
      </c>
      <c r="I35" t="str">
        <v>Core PMB Website</v>
      </c>
      <c r="J35" t="str">
        <v>Yes</v>
      </c>
      <c r="K35" t="str">
        <v>P1 - Critical</v>
      </c>
    </row>
    <row r="36" spans="1:11">
      <c r="A36" t="str">
        <v>P035</v>
      </c>
      <c r="B36" t="str">
        <v>https://pmb.widyatama.ac.id/jalur-seleksi-reguler/</v>
      </c>
      <c r="C36" t="str">
        <v>Jalur Seleksi Reguler - PMB UTama</v>
      </c>
      <c r="D36">
        <v>200</v>
      </c>
      <c r="E36" t="str">
        <v>Indexable</v>
      </c>
      <c r="F36">
        <v>0</v>
      </c>
      <c r="G36" t="str">
        <v>Main PMB Website</v>
      </c>
      <c r="H36" t="str">
        <v>Admission</v>
      </c>
      <c r="I36" t="str">
        <v>Core PMB Website</v>
      </c>
      <c r="J36" t="str">
        <v>Yes</v>
      </c>
      <c r="K36" t="str">
        <v>P1 - Critical</v>
      </c>
    </row>
    <row r="37" spans="1:11">
      <c r="A37" t="str">
        <v>P036</v>
      </c>
      <c r="B37" t="str">
        <v>https://pmb.widyatama.ac.id/jalur-seleksi-khusus/</v>
      </c>
      <c r="C37" t="str">
        <v>Jalur Seleksi Khusus - PMB UTama</v>
      </c>
      <c r="D37">
        <v>200</v>
      </c>
      <c r="E37" t="str">
        <v>Indexable</v>
      </c>
      <c r="F37">
        <v>0</v>
      </c>
      <c r="G37" t="str">
        <v>Main PMB Website</v>
      </c>
      <c r="H37" t="str">
        <v>Admission</v>
      </c>
      <c r="I37" t="str">
        <v>Core PMB Website</v>
      </c>
      <c r="J37" t="str">
        <v>Yes</v>
      </c>
      <c r="K37" t="str">
        <v>P1 - Critical</v>
      </c>
    </row>
    <row r="38" spans="1:11">
      <c r="A38" t="str">
        <v>P037</v>
      </c>
      <c r="B38" t="str">
        <v>https://pmb.widyatama.ac.id/jalur-seleksi-prioritas/</v>
      </c>
      <c r="C38" t="str">
        <v>Jalur Seleksi Prioritas - PMB UTama</v>
      </c>
      <c r="D38">
        <v>200</v>
      </c>
      <c r="E38" t="str">
        <v>Indexable</v>
      </c>
      <c r="F38">
        <v>0</v>
      </c>
      <c r="G38" t="str">
        <v>Main PMB Website</v>
      </c>
      <c r="H38" t="str">
        <v>Admission</v>
      </c>
      <c r="I38" t="str">
        <v>Core PMB Website</v>
      </c>
      <c r="J38" t="str">
        <v>Yes</v>
      </c>
      <c r="K38" t="str">
        <v>P1 - Critical</v>
      </c>
    </row>
    <row r="39" spans="1:11">
      <c r="A39" t="str">
        <v>P038</v>
      </c>
      <c r="B39" t="str">
        <v>https://online.pmb.widyatama.ac.id/register/fst</v>
      </c>
      <c r="C39" t="str">
        <v>PMB | Universitas Widyatama</v>
      </c>
      <c r="D39">
        <v>200</v>
      </c>
      <c r="E39" t="str">
        <v>Indexable</v>
      </c>
      <c r="F39">
        <v>0</v>
      </c>
      <c r="G39" t="str">
        <v>Online Registration System</v>
      </c>
      <c r="H39" t="str">
        <v>Registration System</v>
      </c>
      <c r="I39" t="str">
        <v>Registration System</v>
      </c>
      <c r="J39" t="str">
        <v>Yes</v>
      </c>
      <c r="K39" t="str">
        <v>P1 - Critical</v>
      </c>
    </row>
    <row r="40" spans="1:11">
      <c r="A40" t="str">
        <v>P039</v>
      </c>
      <c r="B40" t="str">
        <v>https://online.pmb.widyatama.ac.id/register/kk</v>
      </c>
      <c r="C40" t="str">
        <v>PMB | Universitas Widyatama</v>
      </c>
      <c r="D40">
        <v>200</v>
      </c>
      <c r="E40" t="str">
        <v>Indexable</v>
      </c>
      <c r="F40">
        <v>0</v>
      </c>
      <c r="G40" t="str">
        <v>Online Registration System</v>
      </c>
      <c r="H40" t="str">
        <v>Registration System</v>
      </c>
      <c r="I40" t="str">
        <v>Registration System</v>
      </c>
      <c r="J40" t="str">
        <v>Yes</v>
      </c>
      <c r="K40" t="str">
        <v>P1 - Critical</v>
      </c>
    </row>
    <row r="41" spans="1:11">
      <c r="A41" t="str">
        <v>P040</v>
      </c>
      <c r="B41" t="str">
        <v>https://online.pmb.widyatama.ac.id/register/s3</v>
      </c>
      <c r="C41" t="str">
        <v>PMB | Universitas Widyatama</v>
      </c>
      <c r="D41">
        <v>200</v>
      </c>
      <c r="E41" t="str">
        <v>Indexable</v>
      </c>
      <c r="F41">
        <v>0</v>
      </c>
      <c r="G41" t="str">
        <v>Online Registration System</v>
      </c>
      <c r="H41" t="str">
        <v>Registration System</v>
      </c>
      <c r="I41" t="str">
        <v>Registration System</v>
      </c>
      <c r="J41" t="str">
        <v>Yes</v>
      </c>
      <c r="K41" t="str">
        <v>P1 - Critical</v>
      </c>
    </row>
    <row r="42" spans="1:11">
      <c r="A42" t="str">
        <v>P041</v>
      </c>
      <c r="B42" t="str">
        <v>https://pmb.widyatama.ac.id/aktivitas-civitas/3/</v>
      </c>
      <c r="C42" t="str">
        <v>Aktivitas Civitas - PMB UTama</v>
      </c>
      <c r="D42">
        <v>200</v>
      </c>
      <c r="E42" t="str">
        <v>Non-Indexable</v>
      </c>
      <c r="F42" t="str">
        <v>Canonicalised</v>
      </c>
      <c r="G42" t="str">
        <v>Main PMB Website</v>
      </c>
      <c r="H42" t="str">
        <v>Campus Life</v>
      </c>
      <c r="I42" t="str">
        <v>Core PMB Website</v>
      </c>
      <c r="J42" t="str">
        <v>Yes</v>
      </c>
      <c r="K42" t="str">
        <v>P2 - High</v>
      </c>
    </row>
    <row r="43" spans="1:11">
      <c r="A43" t="str">
        <v>P042</v>
      </c>
      <c r="B43" t="str">
        <v>https://pmb.widyatama.ac.id/aktivitas-civitas/2/</v>
      </c>
      <c r="C43" t="str">
        <v>Aktivitas Civitas - PMB UTama</v>
      </c>
      <c r="D43">
        <v>200</v>
      </c>
      <c r="E43" t="str">
        <v>Non-Indexable</v>
      </c>
      <c r="F43" t="str">
        <v>Canonicalised</v>
      </c>
      <c r="G43" t="str">
        <v>Main PMB Website</v>
      </c>
      <c r="H43" t="str">
        <v>Campus Life</v>
      </c>
      <c r="I43" t="str">
        <v>Core PMB Website</v>
      </c>
      <c r="J43" t="str">
        <v>Yes</v>
      </c>
      <c r="K43" t="str">
        <v>P2 - High</v>
      </c>
    </row>
    <row r="44" spans="1:11">
      <c r="A44" t="str">
        <v>P043</v>
      </c>
      <c r="B44" t="str">
        <v>https://online.pmb.widyatama.ac.id/auth/login</v>
      </c>
      <c r="C44" t="str">
        <v>PMB | Universitas Widyatama</v>
      </c>
      <c r="D44">
        <v>200</v>
      </c>
      <c r="E44" t="str">
        <v>Indexable</v>
      </c>
      <c r="F44">
        <v>0</v>
      </c>
      <c r="G44" t="str">
        <v>Online Registration System</v>
      </c>
      <c r="H44" t="str">
        <v>Registration System</v>
      </c>
      <c r="I44" t="str">
        <v>Registration System</v>
      </c>
      <c r="J44" t="str">
        <v>Yes</v>
      </c>
      <c r="K44" t="str">
        <v>P1 - Critical</v>
      </c>
    </row>
    <row r="45" spans="1:11">
      <c r="A45" t="str">
        <v>P044</v>
      </c>
      <c r="B45" t="str">
        <v>https://pmb.widyatama.ac.id/democracy-in-indonesia-why-it-feels-weak-at-the-grassroots/</v>
      </c>
      <c r="C45" t="str">
        <v>Democracy in Indonesia: Why It Feels Weak at the Grassroots - PMB UTama</v>
      </c>
      <c r="D45">
        <v>200</v>
      </c>
      <c r="E45" t="str">
        <v>Indexable</v>
      </c>
      <c r="F45">
        <v>0</v>
      </c>
      <c r="G45" t="str">
        <v>Main PMB Website</v>
      </c>
      <c r="H45" t="str">
        <v>Content Review</v>
      </c>
      <c r="I45" t="str">
        <v>Content Audit</v>
      </c>
      <c r="J45" t="str">
        <v>Yes</v>
      </c>
      <c r="K45" t="str">
        <v>P4 - Content Audit</v>
      </c>
    </row>
    <row r="46" spans="1:11">
      <c r="A46" t="str">
        <v>P045</v>
      </c>
      <c r="B46" t="str">
        <v>https://pmb.widyatama.ac.id/2025/09/19/</v>
      </c>
      <c r="C46" t="str">
        <v>September 19, 2025 - PMB UTama</v>
      </c>
      <c r="D46">
        <v>200</v>
      </c>
      <c r="E46" t="str">
        <v>Non-Indexable</v>
      </c>
      <c r="F46" t="str">
        <v>noindex</v>
      </c>
      <c r="G46" t="str">
        <v>Main PMB Website</v>
      </c>
      <c r="H46" t="str">
        <v>Content Review</v>
      </c>
      <c r="I46" t="str">
        <v>Content Audit</v>
      </c>
      <c r="J46" t="str">
        <v>Yes</v>
      </c>
      <c r="K46" t="str">
        <v>P4 - Content Audit</v>
      </c>
    </row>
    <row r="47" spans="1:11">
      <c r="A47" t="str">
        <v>P046</v>
      </c>
      <c r="B47" t="str">
        <v>https://pmb.widyatama.ac.id/democracy-in-indonesia-why-it-feels-weak-at-the-grassroots-4/</v>
      </c>
      <c r="C47" t="str">
        <v>Democracy in Indonesia: Why It Feels Weak at the Grassroots - PMB UTama</v>
      </c>
      <c r="D47">
        <v>200</v>
      </c>
      <c r="E47" t="str">
        <v>Indexable</v>
      </c>
      <c r="F47">
        <v>0</v>
      </c>
      <c r="G47" t="str">
        <v>Main PMB Website</v>
      </c>
      <c r="H47" t="str">
        <v>Content Review</v>
      </c>
      <c r="I47" t="str">
        <v>Content Audit</v>
      </c>
      <c r="J47" t="str">
        <v>Yes</v>
      </c>
      <c r="K47" t="str">
        <v>P4 - Content Audit</v>
      </c>
    </row>
    <row r="48" spans="1:11">
      <c r="A48" t="str">
        <v>P047</v>
      </c>
      <c r="B48" t="str">
        <v>https://pmb.widyatama.ac.id/the-hidden-dangers-of-sugar-3/</v>
      </c>
      <c r="C48" t="str">
        <v>The Hidden Dangers of Sugar - PMB UTama</v>
      </c>
      <c r="D48">
        <v>200</v>
      </c>
      <c r="E48" t="str">
        <v>Indexable</v>
      </c>
      <c r="F48">
        <v>0</v>
      </c>
      <c r="G48" t="str">
        <v>Main PMB Website</v>
      </c>
      <c r="H48" t="str">
        <v>Content Review</v>
      </c>
      <c r="I48" t="str">
        <v>Content Audit</v>
      </c>
      <c r="J48" t="str">
        <v>Yes</v>
      </c>
      <c r="K48" t="str">
        <v>P4 - Content Audit</v>
      </c>
    </row>
    <row r="49" spans="1:11">
      <c r="A49" t="str">
        <v>P048</v>
      </c>
      <c r="B49" t="str">
        <v>https://pmb.widyatama.ac.id/democracy-in-indonesia-why-it-feels-weak-at-the-grassroots-2/</v>
      </c>
      <c r="C49" t="str">
        <v>Democracy in Indonesia: Why It Feels Weak at the Grassroots - PMB UTama</v>
      </c>
      <c r="D49">
        <v>200</v>
      </c>
      <c r="E49" t="str">
        <v>Indexable</v>
      </c>
      <c r="F49">
        <v>0</v>
      </c>
      <c r="G49" t="str">
        <v>Main PMB Website</v>
      </c>
      <c r="H49" t="str">
        <v>Content Review</v>
      </c>
      <c r="I49" t="str">
        <v>Content Audit</v>
      </c>
      <c r="J49" t="str">
        <v>Yes</v>
      </c>
      <c r="K49" t="str">
        <v>P4 - Content Audit</v>
      </c>
    </row>
    <row r="50" spans="1:11">
      <c r="A50" t="str">
        <v>P049</v>
      </c>
      <c r="B50" t="str">
        <v>https://pmb.widyatama.ac.id/the-hidden-dangers-of-sugar-2/</v>
      </c>
      <c r="C50" t="str">
        <v>The Hidden Dangers of Sugar - PMB UTama</v>
      </c>
      <c r="D50">
        <v>200</v>
      </c>
      <c r="E50" t="str">
        <v>Indexable</v>
      </c>
      <c r="F50">
        <v>0</v>
      </c>
      <c r="G50" t="str">
        <v>Main PMB Website</v>
      </c>
      <c r="H50" t="str">
        <v>Content Review</v>
      </c>
      <c r="I50" t="str">
        <v>Content Audit</v>
      </c>
      <c r="J50" t="str">
        <v>Yes</v>
      </c>
      <c r="K50" t="str">
        <v>P4 - Content Audit</v>
      </c>
    </row>
    <row r="51" spans="1:11">
      <c r="A51" t="str">
        <v>P050</v>
      </c>
      <c r="B51" t="str">
        <v>https://pmb.widyatama.ac.id/the-hidden-dangers-of-sugar/</v>
      </c>
      <c r="C51" t="str">
        <v>The Hidden Dangers of Sugar - PMB UTama</v>
      </c>
      <c r="D51">
        <v>200</v>
      </c>
      <c r="E51" t="str">
        <v>Indexable</v>
      </c>
      <c r="F51">
        <v>0</v>
      </c>
      <c r="G51" t="str">
        <v>Main PMB Website</v>
      </c>
      <c r="H51" t="str">
        <v>Content Review</v>
      </c>
      <c r="I51" t="str">
        <v>Content Audit</v>
      </c>
      <c r="J51" t="str">
        <v>Yes</v>
      </c>
      <c r="K51" t="str">
        <v>P4 - Content Audit</v>
      </c>
    </row>
    <row r="52" spans="1:11">
      <c r="A52" t="str">
        <v>P051</v>
      </c>
      <c r="B52" t="str">
        <v>https://pmb.widyatama.ac.id/the-rapid-advancement-of-digital-technology/</v>
      </c>
      <c r="C52" t="str">
        <v>The Rapid Advancement of Digital Technology - PMB UTama</v>
      </c>
      <c r="D52">
        <v>200</v>
      </c>
      <c r="E52" t="str">
        <v>Indexable</v>
      </c>
      <c r="F52">
        <v>0</v>
      </c>
      <c r="G52" t="str">
        <v>Main PMB Website</v>
      </c>
      <c r="H52" t="str">
        <v>Content Review</v>
      </c>
      <c r="I52" t="str">
        <v>Content Audit</v>
      </c>
      <c r="J52" t="str">
        <v>Yes</v>
      </c>
      <c r="K52" t="str">
        <v>P4 - Content Audit</v>
      </c>
    </row>
    <row r="53" spans="1:11">
      <c r="A53" t="str">
        <v>P052</v>
      </c>
      <c r="B53" t="str">
        <v>https://pmb.widyatama.ac.id/the-rapid-advancement-of-digital-technology-2/</v>
      </c>
      <c r="C53" t="str">
        <v>The Rapid Advancement of Digital Technology - PMB UTama</v>
      </c>
      <c r="D53">
        <v>200</v>
      </c>
      <c r="E53" t="str">
        <v>Indexable</v>
      </c>
      <c r="F53">
        <v>0</v>
      </c>
      <c r="G53" t="str">
        <v>Main PMB Website</v>
      </c>
      <c r="H53" t="str">
        <v>Content Review</v>
      </c>
      <c r="I53" t="str">
        <v>Content Audit</v>
      </c>
      <c r="J53" t="str">
        <v>Yes</v>
      </c>
      <c r="K53" t="str">
        <v>P4 - Content Audit</v>
      </c>
    </row>
    <row r="54" spans="1:11">
      <c r="A54" t="str">
        <v>P053</v>
      </c>
      <c r="B54" t="str">
        <v>https://pmb.widyatama.ac.id/democracy-in-indonesia-why-it-feels-weak-at-the-grassroots-3/</v>
      </c>
      <c r="C54" t="str">
        <v>Democracy in Indonesia: Why It Feels Weak at the Grassroots - PMB UTama</v>
      </c>
      <c r="D54">
        <v>200</v>
      </c>
      <c r="E54" t="str">
        <v>Indexable</v>
      </c>
      <c r="F54">
        <v>0</v>
      </c>
      <c r="G54" t="str">
        <v>Main PMB Website</v>
      </c>
      <c r="H54" t="str">
        <v>Content Review</v>
      </c>
      <c r="I54" t="str">
        <v>Content Audit</v>
      </c>
      <c r="J54" t="str">
        <v>Yes</v>
      </c>
      <c r="K54" t="str">
        <v>P4 - Content Audit</v>
      </c>
    </row>
    <row r="55" spans="1:11">
      <c r="A55" t="str">
        <v>P054</v>
      </c>
      <c r="B55" t="str">
        <v>https://pmb.widyatama.ac.id/program-studi/doktor-ilmu-manajemen/</v>
      </c>
      <c r="C55" t="str">
        <v>Doktor Ilmu Manajemen - PMB UTama</v>
      </c>
      <c r="D55">
        <v>200</v>
      </c>
      <c r="E55" t="str">
        <v>Indexable</v>
      </c>
      <c r="F55">
        <v>0</v>
      </c>
      <c r="G55" t="str">
        <v>Main PMB Website</v>
      </c>
      <c r="H55" t="str">
        <v>Program</v>
      </c>
      <c r="I55" t="str">
        <v>Core PMB Website</v>
      </c>
      <c r="J55" t="str">
        <v>Yes</v>
      </c>
      <c r="K55" t="str">
        <v>P1 - Critical</v>
      </c>
    </row>
    <row r="56" spans="1:11">
      <c r="A56" t="str">
        <v>P055</v>
      </c>
      <c r="B56" t="str">
        <v>https://pmb.widyatama.ac.id/program-studi/program-profesi-akuntansi/</v>
      </c>
      <c r="C56" t="str">
        <v>Program Profesi Akuntansi - PMB UTama</v>
      </c>
      <c r="D56">
        <v>200</v>
      </c>
      <c r="E56" t="str">
        <v>Indexable</v>
      </c>
      <c r="F56">
        <v>0</v>
      </c>
      <c r="G56" t="str">
        <v>Main PMB Website</v>
      </c>
      <c r="H56" t="str">
        <v>Program</v>
      </c>
      <c r="I56" t="str">
        <v>Core PMB Website</v>
      </c>
      <c r="J56" t="str">
        <v>Yes</v>
      </c>
      <c r="K56" t="str">
        <v>P1 - Critical</v>
      </c>
    </row>
    <row r="57" spans="1:11">
      <c r="A57" t="str">
        <v>P056</v>
      </c>
      <c r="B57" t="str">
        <v>https://pmb.widyatama.ac.id/program-studi/magister-akuntansi/</v>
      </c>
      <c r="C57" t="str">
        <v>Magister Akuntansi - PMB UTama</v>
      </c>
      <c r="D57">
        <v>200</v>
      </c>
      <c r="E57" t="str">
        <v>Indexable</v>
      </c>
      <c r="F57">
        <v>0</v>
      </c>
      <c r="G57" t="str">
        <v>Main PMB Website</v>
      </c>
      <c r="H57" t="str">
        <v>Program</v>
      </c>
      <c r="I57" t="str">
        <v>Core PMB Website</v>
      </c>
      <c r="J57" t="str">
        <v>Yes</v>
      </c>
      <c r="K57" t="str">
        <v>P1 - Critical</v>
      </c>
    </row>
    <row r="58" spans="1:11">
      <c r="A58" t="str">
        <v>P057</v>
      </c>
      <c r="B58" t="str">
        <v>https://online.pmb.widyatama.ac.id/register/rpl</v>
      </c>
      <c r="C58" t="str">
        <v>PMB | Universitas Widyatama</v>
      </c>
      <c r="D58">
        <v>200</v>
      </c>
      <c r="E58" t="str">
        <v>Indexable</v>
      </c>
      <c r="F58">
        <v>0</v>
      </c>
      <c r="G58" t="str">
        <v>Online Registration System</v>
      </c>
      <c r="H58" t="str">
        <v>Registration System</v>
      </c>
      <c r="I58" t="str">
        <v>Registration System</v>
      </c>
      <c r="J58" t="str">
        <v>Yes</v>
      </c>
      <c r="K58" t="str">
        <v>P1 - Critical</v>
      </c>
    </row>
    <row r="59" spans="1:11">
      <c r="A59" t="str">
        <v>P058</v>
      </c>
      <c r="B59" t="str">
        <v>https://online.pmb.widyatama.ac.id/register/reg</v>
      </c>
      <c r="C59" t="str">
        <v>PMB | Universitas Widyatama</v>
      </c>
      <c r="D59">
        <v>200</v>
      </c>
      <c r="E59" t="str">
        <v>Indexable</v>
      </c>
      <c r="F59">
        <v>0</v>
      </c>
      <c r="G59" t="str">
        <v>Online Registration System</v>
      </c>
      <c r="H59" t="str">
        <v>Registration System</v>
      </c>
      <c r="I59" t="str">
        <v>Registration System</v>
      </c>
      <c r="J59" t="str">
        <v>Yes</v>
      </c>
      <c r="K59" t="str">
        <v>P1 - Critical</v>
      </c>
    </row>
    <row r="60" spans="1:11">
      <c r="A60" t="str">
        <v>P059</v>
      </c>
      <c r="B60" t="str">
        <v>https://online.pmb.widyatama.ac.id/register/sps</v>
      </c>
      <c r="C60" t="str">
        <v>PMB | Universitas Widyatama</v>
      </c>
      <c r="D60">
        <v>200</v>
      </c>
      <c r="E60" t="str">
        <v>Indexable</v>
      </c>
      <c r="F60">
        <v>0</v>
      </c>
      <c r="G60" t="str">
        <v>Online Registration System</v>
      </c>
      <c r="H60" t="str">
        <v>Registration System</v>
      </c>
      <c r="I60" t="str">
        <v>Registration System</v>
      </c>
      <c r="J60" t="str">
        <v>Yes</v>
      </c>
      <c r="K60" t="str">
        <v>P1 - Critical</v>
      </c>
    </row>
    <row r="61" spans="1:11">
      <c r="A61" t="str">
        <v>P060</v>
      </c>
      <c r="B61" t="str">
        <v>https://pmb.widyatama.ac.id/jalur-seleksi-mahasiswa-asing-international/</v>
      </c>
      <c r="C61" t="str">
        <v>Jalur Seleksi Mahasiswa Asing UTama International Scholarship - PMB UTama</v>
      </c>
      <c r="D61">
        <v>200</v>
      </c>
      <c r="E61" t="str">
        <v>Indexable</v>
      </c>
      <c r="F61">
        <v>0</v>
      </c>
      <c r="G61" t="str">
        <v>Main PMB Website</v>
      </c>
      <c r="H61" t="str">
        <v>Admission</v>
      </c>
      <c r="I61" t="str">
        <v>Core PMB Website</v>
      </c>
      <c r="J61" t="str">
        <v>Yes</v>
      </c>
      <c r="K61" t="str">
        <v>P1 - Critical</v>
      </c>
    </row>
    <row r="62" spans="1:11">
      <c r="A62" t="str">
        <v>P061</v>
      </c>
      <c r="B62" t="str">
        <v>https://pmb.widyatama.ac.id/program-studi/teknik-mesin-s1/</v>
      </c>
      <c r="C62" t="str">
        <v>Teknik Mesin S1 - PMB UTama</v>
      </c>
      <c r="D62">
        <v>200</v>
      </c>
      <c r="E62" t="str">
        <v>Indexable</v>
      </c>
      <c r="F62">
        <v>0</v>
      </c>
      <c r="G62" t="str">
        <v>Main PMB Website</v>
      </c>
      <c r="H62" t="str">
        <v>Program</v>
      </c>
      <c r="I62" t="str">
        <v>Core PMB Website</v>
      </c>
      <c r="J62" t="str">
        <v>Yes</v>
      </c>
      <c r="K62" t="str">
        <v>P1 - Critical</v>
      </c>
    </row>
    <row r="63" spans="1:11">
      <c r="A63" t="str">
        <v>P062</v>
      </c>
      <c r="B63" t="str">
        <v>https://pmb.widyatama.ac.id/program-studi/branding-design-strategy-d4/</v>
      </c>
      <c r="C63" t="str">
        <v>Desain Grafis D4 - PMB UTama</v>
      </c>
      <c r="D63">
        <v>200</v>
      </c>
      <c r="E63" t="str">
        <v>Indexable</v>
      </c>
      <c r="F63">
        <v>0</v>
      </c>
      <c r="G63" t="str">
        <v>Main PMB Website</v>
      </c>
      <c r="H63" t="str">
        <v>Program</v>
      </c>
      <c r="I63" t="str">
        <v>Core PMB Website</v>
      </c>
      <c r="J63" t="str">
        <v>Yes</v>
      </c>
      <c r="K63" t="str">
        <v>P1 - Critical</v>
      </c>
    </row>
    <row r="64" spans="1:11">
      <c r="A64" t="str">
        <v>P063</v>
      </c>
      <c r="B64" t="str">
        <v>https://pmb.widyatama.ac.id/program-studi/bahasa-jepang-s1/</v>
      </c>
      <c r="C64" t="str">
        <v>Bahasa Jepang S1 - PMB UTama</v>
      </c>
      <c r="D64">
        <v>200</v>
      </c>
      <c r="E64" t="str">
        <v>Indexable</v>
      </c>
      <c r="F64">
        <v>0</v>
      </c>
      <c r="G64" t="str">
        <v>Main PMB Website</v>
      </c>
      <c r="H64" t="str">
        <v>Program</v>
      </c>
      <c r="I64" t="str">
        <v>Core PMB Website</v>
      </c>
      <c r="J64" t="str">
        <v>Yes</v>
      </c>
      <c r="K64" t="str">
        <v>P1 - Critical</v>
      </c>
    </row>
    <row r="65" spans="1:11">
      <c r="A65" t="str">
        <v>P064</v>
      </c>
      <c r="B65" t="str">
        <v>https://pmb.widyatama.ac.id/program-studi/japanese-for-business-and-tourism-d3/</v>
      </c>
      <c r="C65" t="str">
        <v>Bahasa Jepang D3 - PMB UTama</v>
      </c>
      <c r="D65">
        <v>200</v>
      </c>
      <c r="E65" t="str">
        <v>Indexable</v>
      </c>
      <c r="F65">
        <v>0</v>
      </c>
      <c r="G65" t="str">
        <v>Main PMB Website</v>
      </c>
      <c r="H65" t="str">
        <v>Program</v>
      </c>
      <c r="I65" t="str">
        <v>Core PMB Website</v>
      </c>
      <c r="J65" t="str">
        <v>Yes</v>
      </c>
      <c r="K65" t="str">
        <v>P1 - Critical</v>
      </c>
    </row>
    <row r="66" spans="1:11">
      <c r="A66" t="str">
        <v>P065</v>
      </c>
      <c r="B66" t="str">
        <v>https://pmb.widyatama.ac.id/program-studi/teknik-sipil-s1/</v>
      </c>
      <c r="C66" t="str">
        <v>Teknik Sipil S1 - PMB UTama</v>
      </c>
      <c r="D66">
        <v>200</v>
      </c>
      <c r="E66" t="str">
        <v>Indexable</v>
      </c>
      <c r="F66">
        <v>0</v>
      </c>
      <c r="G66" t="str">
        <v>Main PMB Website</v>
      </c>
      <c r="H66" t="str">
        <v>Program</v>
      </c>
      <c r="I66" t="str">
        <v>Core PMB Website</v>
      </c>
      <c r="J66" t="str">
        <v>Yes</v>
      </c>
      <c r="K66" t="str">
        <v>P1 - Critical</v>
      </c>
    </row>
    <row r="67" spans="1:11">
      <c r="A67" t="str">
        <v>P066</v>
      </c>
      <c r="B67" t="str">
        <v>https://pmb.widyatama.ac.id/program-studi/manajemen-sumber-daya-manusia-s1/</v>
      </c>
      <c r="C67" t="str">
        <v>Manajemen Sumber Daya Manusia S1 - PMB UTama</v>
      </c>
      <c r="D67">
        <v>200</v>
      </c>
      <c r="E67" t="str">
        <v>Indexable</v>
      </c>
      <c r="F67">
        <v>0</v>
      </c>
      <c r="G67" t="str">
        <v>Main PMB Website</v>
      </c>
      <c r="H67" t="str">
        <v>Program</v>
      </c>
      <c r="I67" t="str">
        <v>Core PMB Website</v>
      </c>
      <c r="J67" t="str">
        <v>Yes</v>
      </c>
      <c r="K67" t="str">
        <v>P1 - Critical</v>
      </c>
    </row>
    <row r="68" spans="1:11">
      <c r="A68" t="str">
        <v>P067</v>
      </c>
      <c r="B68" t="str">
        <v>https://pmb.widyatama.ac.id/program-studi/manajemen-operasional-s1/</v>
      </c>
      <c r="C68" t="str">
        <v>Manajemen Operasional S1 - PMB UTama</v>
      </c>
      <c r="D68">
        <v>200</v>
      </c>
      <c r="E68" t="str">
        <v>Indexable</v>
      </c>
      <c r="F68">
        <v>0</v>
      </c>
      <c r="G68" t="str">
        <v>Main PMB Website</v>
      </c>
      <c r="H68" t="str">
        <v>Program</v>
      </c>
      <c r="I68" t="str">
        <v>Core PMB Website</v>
      </c>
      <c r="J68" t="str">
        <v>Yes</v>
      </c>
      <c r="K68" t="str">
        <v>P1 - Critical</v>
      </c>
    </row>
    <row r="69" spans="1:11">
      <c r="A69" t="str">
        <v>P068</v>
      </c>
      <c r="B69" t="str">
        <v>https://pmb.widyatama.ac.id/program-studi/manajemen-kewirausahaan-s1/</v>
      </c>
      <c r="C69" t="str">
        <v>Manajemen Kewirausahaan S1 - PMB UTama</v>
      </c>
      <c r="D69">
        <v>200</v>
      </c>
      <c r="E69" t="str">
        <v>Indexable</v>
      </c>
      <c r="F69">
        <v>0</v>
      </c>
      <c r="G69" t="str">
        <v>Main PMB Website</v>
      </c>
      <c r="H69" t="str">
        <v>Program</v>
      </c>
      <c r="I69" t="str">
        <v>Core PMB Website</v>
      </c>
      <c r="J69" t="str">
        <v>Yes</v>
      </c>
      <c r="K69" t="str">
        <v>P1 - Critical</v>
      </c>
    </row>
    <row r="70" spans="1:11">
      <c r="A70" t="str">
        <v>P069</v>
      </c>
      <c r="B70" t="str">
        <v>https://pmb.widyatama.ac.id/program-studi/teknik-industri-s1/</v>
      </c>
      <c r="C70" t="str">
        <v>Teknik Industri S1 - PMB UTama</v>
      </c>
      <c r="D70">
        <v>200</v>
      </c>
      <c r="E70" t="str">
        <v>Indexable</v>
      </c>
      <c r="F70">
        <v>0</v>
      </c>
      <c r="G70" t="str">
        <v>Main PMB Website</v>
      </c>
      <c r="H70" t="str">
        <v>Program</v>
      </c>
      <c r="I70" t="str">
        <v>Core PMB Website</v>
      </c>
      <c r="J70" t="str">
        <v>Yes</v>
      </c>
      <c r="K70" t="str">
        <v>P1 - Critical</v>
      </c>
    </row>
    <row r="71" spans="1:11">
      <c r="A71" t="str">
        <v>P070</v>
      </c>
      <c r="B71" t="str">
        <v>https://pmb.widyatama.ac.id/program-studi/manajemen-keuangan-s1/</v>
      </c>
      <c r="C71" t="str">
        <v>Manajemen Keuangan S1 - PMB UTama</v>
      </c>
      <c r="D71">
        <v>200</v>
      </c>
      <c r="E71" t="str">
        <v>Indexable</v>
      </c>
      <c r="F71">
        <v>0</v>
      </c>
      <c r="G71" t="str">
        <v>Main PMB Website</v>
      </c>
      <c r="H71" t="str">
        <v>Program</v>
      </c>
      <c r="I71" t="str">
        <v>Core PMB Website</v>
      </c>
      <c r="J71" t="str">
        <v>Yes</v>
      </c>
      <c r="K71" t="str">
        <v>P1 - Critical</v>
      </c>
    </row>
    <row r="72" spans="1:11">
      <c r="A72" t="str">
        <v>P071</v>
      </c>
      <c r="B72" t="str">
        <v>https://pmb.widyatama.ac.id/program-studi/sistem-informasi-s1/</v>
      </c>
      <c r="C72" t="str">
        <v>Sistem Informasi S1 - PMB UTama</v>
      </c>
      <c r="D72">
        <v>200</v>
      </c>
      <c r="E72" t="str">
        <v>Indexable</v>
      </c>
      <c r="F72">
        <v>0</v>
      </c>
      <c r="G72" t="str">
        <v>Main PMB Website</v>
      </c>
      <c r="H72" t="str">
        <v>Program</v>
      </c>
      <c r="I72" t="str">
        <v>Core PMB Website</v>
      </c>
      <c r="J72" t="str">
        <v>Yes</v>
      </c>
      <c r="K72" t="str">
        <v>P1 - Critical</v>
      </c>
    </row>
    <row r="73" spans="1:11">
      <c r="A73" t="str">
        <v>P072</v>
      </c>
      <c r="B73" t="str">
        <v>https://pmb.widyatama.ac.id/program-studi/teknik-informatika-s1/</v>
      </c>
      <c r="C73" t="str">
        <v>Teknik Informatika S1 - PMB UTama</v>
      </c>
      <c r="D73">
        <v>200</v>
      </c>
      <c r="E73" t="str">
        <v>Indexable</v>
      </c>
      <c r="F73">
        <v>0</v>
      </c>
      <c r="G73" t="str">
        <v>Main PMB Website</v>
      </c>
      <c r="H73" t="str">
        <v>Program</v>
      </c>
      <c r="I73" t="str">
        <v>Core PMB Website</v>
      </c>
      <c r="J73" t="str">
        <v>Yes</v>
      </c>
      <c r="K73" t="str">
        <v>P1 - Critical</v>
      </c>
    </row>
    <row r="74" spans="1:11">
      <c r="A74" t="str">
        <v>P073</v>
      </c>
      <c r="B74" t="str">
        <v>https://pmb.widyatama.ac.id/program-studi/akuntansi-s1/</v>
      </c>
      <c r="C74" t="str">
        <v>Akuntansi S1 - PMB UTama</v>
      </c>
      <c r="D74">
        <v>200</v>
      </c>
      <c r="E74" t="str">
        <v>Indexable</v>
      </c>
      <c r="F74">
        <v>0</v>
      </c>
      <c r="G74" t="str">
        <v>Main PMB Website</v>
      </c>
      <c r="H74" t="str">
        <v>Program</v>
      </c>
      <c r="I74" t="str">
        <v>Core PMB Website</v>
      </c>
      <c r="J74" t="str">
        <v>Yes</v>
      </c>
      <c r="K74" t="str">
        <v>P1 - Critical</v>
      </c>
    </row>
    <row r="75" spans="1:11">
      <c r="A75" t="str">
        <v>P074</v>
      </c>
      <c r="B75" t="str">
        <v>https://pmb.widyatama.ac.id/program-studi/creative-business-management-d3/</v>
      </c>
      <c r="C75" t="str">
        <v>Manajemen D3 - PMB UTama</v>
      </c>
      <c r="D75">
        <v>200</v>
      </c>
      <c r="E75" t="str">
        <v>Indexable</v>
      </c>
      <c r="F75">
        <v>0</v>
      </c>
      <c r="G75" t="str">
        <v>Main PMB Website</v>
      </c>
      <c r="H75" t="str">
        <v>Program</v>
      </c>
      <c r="I75" t="str">
        <v>Core PMB Website</v>
      </c>
      <c r="J75" t="str">
        <v>Yes</v>
      </c>
      <c r="K75" t="str">
        <v>P1 - Critical</v>
      </c>
    </row>
    <row r="76" spans="1:11">
      <c r="A76" t="str">
        <v>P075</v>
      </c>
      <c r="B76" t="str">
        <v>https://pmb.widyatama.ac.id/program-studi/film-and-television-production-d4/</v>
      </c>
      <c r="C76" t="str">
        <v>Film and Television Production D4 - PMB UTama</v>
      </c>
      <c r="D76">
        <v>200</v>
      </c>
      <c r="E76" t="str">
        <v>Indexable</v>
      </c>
      <c r="F76">
        <v>0</v>
      </c>
      <c r="G76" t="str">
        <v>Main PMB Website</v>
      </c>
      <c r="H76" t="str">
        <v>Program</v>
      </c>
      <c r="I76" t="str">
        <v>Core PMB Website</v>
      </c>
      <c r="J76" t="str">
        <v>Yes</v>
      </c>
      <c r="K76" t="str">
        <v>P1 - Critical</v>
      </c>
    </row>
    <row r="77" spans="1:11">
      <c r="A77" t="str">
        <v>P076</v>
      </c>
      <c r="B77" t="str">
        <v>https://pmb.widyatama.ac.id/program-studi/manajemen-pemasaran-s1/</v>
      </c>
      <c r="C77" t="str">
        <v>Manajemen Pemasaran S1 - PMB UTama</v>
      </c>
      <c r="D77">
        <v>200</v>
      </c>
      <c r="E77" t="str">
        <v>Indexable</v>
      </c>
      <c r="F77">
        <v>0</v>
      </c>
      <c r="G77" t="str">
        <v>Main PMB Website</v>
      </c>
      <c r="H77" t="str">
        <v>Program</v>
      </c>
      <c r="I77" t="str">
        <v>Core PMB Website</v>
      </c>
      <c r="J77" t="str">
        <v>Yes</v>
      </c>
      <c r="K77" t="str">
        <v>P1 - Critical</v>
      </c>
    </row>
    <row r="78" spans="1:11">
      <c r="A78" t="str">
        <v>P077</v>
      </c>
      <c r="B78" t="str">
        <v>https://pmb.widyatama.ac.id/program-studi/perpustakaan-sains-informasi-s1/</v>
      </c>
      <c r="C78" t="str">
        <v>Perpustakaan dan Sains Informasi S1 - PMB UTama</v>
      </c>
      <c r="D78">
        <v>200</v>
      </c>
      <c r="E78" t="str">
        <v>Indexable</v>
      </c>
      <c r="F78">
        <v>0</v>
      </c>
      <c r="G78" t="str">
        <v>Main PMB Website</v>
      </c>
      <c r="H78" t="str">
        <v>Program</v>
      </c>
      <c r="I78" t="str">
        <v>Core PMB Website</v>
      </c>
      <c r="J78" t="str">
        <v>Yes</v>
      </c>
      <c r="K78" t="str">
        <v>P1 - Critical</v>
      </c>
    </row>
    <row r="79" spans="1:11">
      <c r="A79" t="str">
        <v>P078</v>
      </c>
      <c r="B79" t="str">
        <v>https://pmb.widyatama.ac.id/program-studi/bahasa-inggris-s1/</v>
      </c>
      <c r="C79" t="str">
        <v>Bahasa Inggris S1 - PMB UTama</v>
      </c>
      <c r="D79">
        <v>200</v>
      </c>
      <c r="E79" t="str">
        <v>Indexable</v>
      </c>
      <c r="F79">
        <v>0</v>
      </c>
      <c r="G79" t="str">
        <v>Main PMB Website</v>
      </c>
      <c r="H79" t="str">
        <v>Program</v>
      </c>
      <c r="I79" t="str">
        <v>Core PMB Website</v>
      </c>
      <c r="J79" t="str">
        <v>Yes</v>
      </c>
      <c r="K79" t="str">
        <v>P1 - Critical</v>
      </c>
    </row>
    <row r="80" spans="1:11">
      <c r="A80" t="str">
        <v>P079</v>
      </c>
      <c r="B80" t="str">
        <v>https://pmb.widyatama.ac.id/program-studi/digital-accounting-d3/</v>
      </c>
      <c r="C80" t="str">
        <v>Digital Accounting D3 (Akuntansi D3) - PMB UTama</v>
      </c>
      <c r="D80">
        <v>200</v>
      </c>
      <c r="E80" t="str">
        <v>Indexable</v>
      </c>
      <c r="F80">
        <v>0</v>
      </c>
      <c r="G80" t="str">
        <v>Main PMB Website</v>
      </c>
      <c r="H80" t="str">
        <v>Program</v>
      </c>
      <c r="I80" t="str">
        <v>Core PMB Website</v>
      </c>
      <c r="J80" t="str">
        <v>Yes</v>
      </c>
      <c r="K80" t="str">
        <v>P1 - Critical</v>
      </c>
    </row>
    <row r="81" spans="1:11">
      <c r="A81" t="str">
        <v>P080</v>
      </c>
      <c r="B81" t="str">
        <v>https://pmb.widyatama.ac.id/program-studi/teknik-elektro-s1/</v>
      </c>
      <c r="C81" t="str">
        <v>Teknik Elektro S1 - PMB UTama</v>
      </c>
      <c r="D81">
        <v>200</v>
      </c>
      <c r="E81" t="str">
        <v>Indexable</v>
      </c>
      <c r="F81">
        <v>0</v>
      </c>
      <c r="G81" t="str">
        <v>Main PMB Website</v>
      </c>
      <c r="H81" t="str">
        <v>Program</v>
      </c>
      <c r="I81" t="str">
        <v>Core PMB Website</v>
      </c>
      <c r="J81" t="str">
        <v>Yes</v>
      </c>
      <c r="K81" t="str">
        <v>P1 - Critical</v>
      </c>
    </row>
    <row r="82" spans="1:11">
      <c r="A82" t="str">
        <v>P081</v>
      </c>
      <c r="B82" t="str">
        <v>https://online.pmb.widyatama.ac.id/hasil</v>
      </c>
      <c r="C82" t="str">
        <v>PMB | Universitas Widyatama</v>
      </c>
      <c r="D82">
        <v>200</v>
      </c>
      <c r="E82" t="str">
        <v>Indexable</v>
      </c>
      <c r="F82">
        <v>0</v>
      </c>
      <c r="G82" t="str">
        <v>Online Registration System</v>
      </c>
      <c r="H82" t="str">
        <v>Registration System</v>
      </c>
      <c r="I82" t="str">
        <v>Registration System</v>
      </c>
      <c r="J82" t="str">
        <v>Yes</v>
      </c>
      <c r="K82" t="str">
        <v>P1 - Critical</v>
      </c>
    </row>
    <row r="83" spans="1:11">
      <c r="A83" t="str">
        <v>P082</v>
      </c>
      <c r="B83" t="str">
        <v>https://pmb.widyatama.ac.id/program-studi/interactive-multimedia-d3/</v>
      </c>
      <c r="C83" t="str">
        <v>Multimedia D3 - PMB UTama</v>
      </c>
      <c r="D83">
        <v>200</v>
      </c>
      <c r="E83" t="str">
        <v>Indexable</v>
      </c>
      <c r="F83">
        <v>0</v>
      </c>
      <c r="G83" t="str">
        <v>Main PMB Website</v>
      </c>
      <c r="H83" t="str">
        <v>Program</v>
      </c>
      <c r="I83" t="str">
        <v>Core PMB Website</v>
      </c>
      <c r="J83" t="str">
        <v>Yes</v>
      </c>
      <c r="K83" t="str">
        <v>P1 - Critical</v>
      </c>
    </row>
    <row r="84" spans="1:11">
      <c r="A84" t="str">
        <v>P083</v>
      </c>
      <c r="B84" t="str">
        <v>https://online.pmb.widyatama.ac.id/auth/forgot_password</v>
      </c>
      <c r="C84" t="str">
        <v>PMB | Universitas Widyatama</v>
      </c>
      <c r="D84">
        <v>200</v>
      </c>
      <c r="E84" t="str">
        <v>Indexable</v>
      </c>
      <c r="F84">
        <v>0</v>
      </c>
      <c r="G84" t="str">
        <v>Online Registration System</v>
      </c>
      <c r="H84" t="str">
        <v>Registration System</v>
      </c>
      <c r="I84" t="str">
        <v>Registration System</v>
      </c>
      <c r="J84" t="str">
        <v>Yes</v>
      </c>
      <c r="K84" t="str">
        <v>P1 - Critical</v>
      </c>
    </row>
    <row r="85" spans="1:11">
      <c r="A85" t="str">
        <v>P084</v>
      </c>
      <c r="B85" t="str">
        <v>https://pmb.widyatama.ac.id/category/science-and-technology/</v>
      </c>
      <c r="C85" t="str">
        <v>Science and Technology Archives - PMB UTama</v>
      </c>
      <c r="D85">
        <v>200</v>
      </c>
      <c r="E85" t="str">
        <v>Indexable</v>
      </c>
      <c r="F85">
        <v>0</v>
      </c>
      <c r="G85" t="str">
        <v>Main PMB Website</v>
      </c>
      <c r="H85" t="str">
        <v>Content Archive</v>
      </c>
      <c r="I85" t="str">
        <v>Core PMB Website</v>
      </c>
      <c r="J85" t="str">
        <v>Yes</v>
      </c>
      <c r="K85" t="str">
        <v>P3 - Standard</v>
      </c>
    </row>
    <row r="86" spans="1:11">
      <c r="A86" t="str">
        <v>P085</v>
      </c>
      <c r="B86" t="str">
        <v>https://pmb.widyatama.ac.id/category/medicine/</v>
      </c>
      <c r="C86" t="str">
        <v>Medicine Archives - PMB UTama</v>
      </c>
      <c r="D86">
        <v>200</v>
      </c>
      <c r="E86" t="str">
        <v>Indexable</v>
      </c>
      <c r="F86">
        <v>0</v>
      </c>
      <c r="G86" t="str">
        <v>Main PMB Website</v>
      </c>
      <c r="H86" t="str">
        <v>Content Archive</v>
      </c>
      <c r="I86" t="str">
        <v>Core PMB Website</v>
      </c>
      <c r="J86" t="str">
        <v>Yes</v>
      </c>
      <c r="K86" t="str">
        <v>P3 - Standard</v>
      </c>
    </row>
    <row r="87" spans="1:11">
      <c r="A87" t="str">
        <v>P086</v>
      </c>
      <c r="B87" t="str">
        <v>https://pmb.widyatama.ac.id/category/law-and-policy/</v>
      </c>
      <c r="C87" t="str">
        <v>Law and Policy Archives - PMB UTama</v>
      </c>
      <c r="D87">
        <v>200</v>
      </c>
      <c r="E87" t="str">
        <v>Indexable</v>
      </c>
      <c r="F87">
        <v>0</v>
      </c>
      <c r="G87" t="str">
        <v>Main PMB Website</v>
      </c>
      <c r="H87" t="str">
        <v>Content Archive</v>
      </c>
      <c r="I87" t="str">
        <v>Core PMB Website</v>
      </c>
      <c r="J87" t="str">
        <v>Yes</v>
      </c>
      <c r="K87" t="str">
        <v>P3 - Standard</v>
      </c>
    </row>
    <row r="88" spans="1:11">
      <c r="A88" t="str">
        <v>P087</v>
      </c>
      <c r="B88" t="str">
        <v>https://pmb.widyatama.ac.id/2025/09/13/</v>
      </c>
      <c r="C88" t="str">
        <v>September 13, 2025 - PMB UTama</v>
      </c>
      <c r="D88">
        <v>200</v>
      </c>
      <c r="E88" t="str">
        <v>Non-Indexable</v>
      </c>
      <c r="F88" t="str">
        <v>noindex</v>
      </c>
      <c r="G88" t="str">
        <v>Main PMB Website</v>
      </c>
      <c r="H88" t="str">
        <v>Content Review</v>
      </c>
      <c r="I88" t="str">
        <v>Content Audit</v>
      </c>
      <c r="J88" t="str">
        <v>Yes</v>
      </c>
      <c r="K88" t="str">
        <v>P4 - Content Audit</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CBBC-6558-4A1F-AB49-9239AABBA950}">
  <dimension ref="A1:N88"/>
  <sheetViews>
    <sheetView workbookViewId="0">
      <selection activeCell="N4" sqref="A2:N88"/>
    </sheetView>
  </sheetViews>
  <sheetFormatPr defaultRowHeight="14.4"/>
  <cols>
    <col min="1" max="1" width="9.44140625" customWidth="1"/>
    <col min="2" max="2" width="78" bestFit="1" customWidth="1"/>
    <col min="3" max="3" width="63.44140625" bestFit="1" customWidth="1"/>
    <col min="4" max="4" width="13.33203125" customWidth="1"/>
    <col min="5" max="5" width="12.77734375" customWidth="1"/>
    <col min="6" max="6" width="18.88671875" customWidth="1"/>
    <col min="7" max="7" width="22.5546875" bestFit="1" customWidth="1"/>
    <col min="8" max="8" width="16.77734375" bestFit="1" customWidth="1"/>
    <col min="9" max="9" width="20.5546875" customWidth="1"/>
    <col min="10" max="10" width="19.44140625" customWidth="1"/>
    <col min="11" max="11" width="15.33203125" bestFit="1" customWidth="1"/>
    <col min="12" max="12" width="13" customWidth="1"/>
    <col min="13" max="13" width="16.21875" style="12" customWidth="1"/>
    <col min="14" max="14" width="16.44140625" customWidth="1"/>
  </cols>
  <sheetData>
    <row r="1" spans="1:14">
      <c r="A1" t="s">
        <v>734</v>
      </c>
      <c r="B1" t="s">
        <v>709</v>
      </c>
      <c r="C1" t="s">
        <v>735</v>
      </c>
      <c r="D1" t="s">
        <v>736</v>
      </c>
      <c r="E1" t="s">
        <v>4</v>
      </c>
      <c r="F1" t="s">
        <v>737</v>
      </c>
      <c r="G1" t="s">
        <v>738</v>
      </c>
      <c r="H1" t="s">
        <v>739</v>
      </c>
      <c r="I1" t="s">
        <v>740</v>
      </c>
      <c r="J1" t="s">
        <v>741</v>
      </c>
      <c r="K1" t="s">
        <v>742</v>
      </c>
      <c r="L1" s="10" t="s">
        <v>876</v>
      </c>
      <c r="M1" s="11" t="s">
        <v>877</v>
      </c>
      <c r="N1" s="10" t="s">
        <v>878</v>
      </c>
    </row>
    <row r="2" spans="1:14">
      <c r="A2" t="s">
        <v>767</v>
      </c>
      <c r="B2" t="s">
        <v>70</v>
      </c>
      <c r="C2" t="s">
        <v>73</v>
      </c>
      <c r="D2">
        <v>200</v>
      </c>
      <c r="E2" t="s">
        <v>72</v>
      </c>
      <c r="F2">
        <v>0</v>
      </c>
      <c r="G2" t="s">
        <v>768</v>
      </c>
      <c r="H2" t="s">
        <v>769</v>
      </c>
      <c r="I2" t="s">
        <v>770</v>
      </c>
      <c r="J2" t="s">
        <v>771</v>
      </c>
      <c r="K2" t="s">
        <v>772</v>
      </c>
      <c r="L2" t="s">
        <v>879</v>
      </c>
      <c r="M2" s="12">
        <v>46255</v>
      </c>
      <c r="N2" t="s">
        <v>880</v>
      </c>
    </row>
    <row r="3" spans="1:14">
      <c r="A3" t="s">
        <v>773</v>
      </c>
      <c r="B3" t="s">
        <v>96</v>
      </c>
      <c r="C3" t="s">
        <v>97</v>
      </c>
      <c r="D3">
        <v>200</v>
      </c>
      <c r="E3" t="s">
        <v>72</v>
      </c>
      <c r="F3">
        <v>0</v>
      </c>
      <c r="G3" t="s">
        <v>768</v>
      </c>
      <c r="H3" t="s">
        <v>774</v>
      </c>
      <c r="I3" t="s">
        <v>770</v>
      </c>
      <c r="J3" t="s">
        <v>771</v>
      </c>
      <c r="K3" t="s">
        <v>772</v>
      </c>
      <c r="L3" t="s">
        <v>879</v>
      </c>
      <c r="M3" s="12">
        <v>46255</v>
      </c>
      <c r="N3" t="s">
        <v>880</v>
      </c>
    </row>
    <row r="4" spans="1:14">
      <c r="A4" t="s">
        <v>775</v>
      </c>
      <c r="B4" t="s">
        <v>105</v>
      </c>
      <c r="C4" t="s">
        <v>106</v>
      </c>
      <c r="D4">
        <v>200</v>
      </c>
      <c r="E4" t="s">
        <v>72</v>
      </c>
      <c r="F4">
        <v>0</v>
      </c>
      <c r="G4" t="s">
        <v>768</v>
      </c>
      <c r="H4" t="s">
        <v>776</v>
      </c>
      <c r="I4" t="s">
        <v>770</v>
      </c>
      <c r="J4" t="s">
        <v>771</v>
      </c>
      <c r="K4" t="s">
        <v>777</v>
      </c>
      <c r="L4" t="s">
        <v>879</v>
      </c>
      <c r="M4" s="12">
        <v>46255</v>
      </c>
      <c r="N4" t="s">
        <v>880</v>
      </c>
    </row>
    <row r="5" spans="1:14">
      <c r="A5" t="s">
        <v>778</v>
      </c>
      <c r="B5" t="s">
        <v>113</v>
      </c>
      <c r="C5" t="s">
        <v>114</v>
      </c>
      <c r="D5">
        <v>200</v>
      </c>
      <c r="E5" t="s">
        <v>72</v>
      </c>
      <c r="F5">
        <v>0</v>
      </c>
      <c r="G5" t="s">
        <v>768</v>
      </c>
      <c r="H5" t="s">
        <v>779</v>
      </c>
      <c r="I5" t="s">
        <v>770</v>
      </c>
      <c r="J5" t="s">
        <v>771</v>
      </c>
      <c r="K5" t="s">
        <v>780</v>
      </c>
      <c r="L5" t="s">
        <v>879</v>
      </c>
      <c r="M5" s="12">
        <v>46255</v>
      </c>
      <c r="N5" t="s">
        <v>880</v>
      </c>
    </row>
    <row r="6" spans="1:14">
      <c r="A6" t="s">
        <v>781</v>
      </c>
      <c r="B6" t="s">
        <v>121</v>
      </c>
      <c r="C6" t="s">
        <v>122</v>
      </c>
      <c r="D6">
        <v>200</v>
      </c>
      <c r="E6" t="s">
        <v>72</v>
      </c>
      <c r="F6">
        <v>0</v>
      </c>
      <c r="G6" t="s">
        <v>768</v>
      </c>
      <c r="H6" t="s">
        <v>779</v>
      </c>
      <c r="I6" t="s">
        <v>770</v>
      </c>
      <c r="J6" t="s">
        <v>771</v>
      </c>
      <c r="K6" t="s">
        <v>780</v>
      </c>
      <c r="L6" t="s">
        <v>879</v>
      </c>
      <c r="M6" s="12">
        <v>46255</v>
      </c>
      <c r="N6" t="s">
        <v>880</v>
      </c>
    </row>
    <row r="7" spans="1:14">
      <c r="A7" t="s">
        <v>782</v>
      </c>
      <c r="B7" t="s">
        <v>128</v>
      </c>
      <c r="C7" t="s">
        <v>129</v>
      </c>
      <c r="D7">
        <v>200</v>
      </c>
      <c r="E7" t="s">
        <v>72</v>
      </c>
      <c r="F7">
        <v>0</v>
      </c>
      <c r="G7" t="s">
        <v>768</v>
      </c>
      <c r="H7" t="s">
        <v>783</v>
      </c>
      <c r="I7" t="s">
        <v>770</v>
      </c>
      <c r="J7" t="s">
        <v>771</v>
      </c>
      <c r="K7" t="s">
        <v>772</v>
      </c>
      <c r="L7" t="s">
        <v>879</v>
      </c>
      <c r="M7" s="12">
        <v>46255</v>
      </c>
      <c r="N7" t="s">
        <v>880</v>
      </c>
    </row>
    <row r="8" spans="1:14">
      <c r="A8" t="s">
        <v>784</v>
      </c>
      <c r="B8" t="s">
        <v>136</v>
      </c>
      <c r="C8" t="s">
        <v>137</v>
      </c>
      <c r="D8">
        <v>200</v>
      </c>
      <c r="E8" t="s">
        <v>72</v>
      </c>
      <c r="F8">
        <v>0</v>
      </c>
      <c r="G8" t="s">
        <v>768</v>
      </c>
      <c r="H8" t="s">
        <v>785</v>
      </c>
      <c r="I8" t="s">
        <v>770</v>
      </c>
      <c r="J8" t="s">
        <v>771</v>
      </c>
      <c r="K8" t="s">
        <v>777</v>
      </c>
      <c r="L8" t="s">
        <v>879</v>
      </c>
      <c r="M8" s="12">
        <v>46255</v>
      </c>
      <c r="N8" t="s">
        <v>880</v>
      </c>
    </row>
    <row r="9" spans="1:14">
      <c r="A9" t="s">
        <v>786</v>
      </c>
      <c r="B9" t="s">
        <v>144</v>
      </c>
      <c r="C9" t="s">
        <v>145</v>
      </c>
      <c r="D9">
        <v>200</v>
      </c>
      <c r="E9" t="s">
        <v>72</v>
      </c>
      <c r="F9">
        <v>0</v>
      </c>
      <c r="G9" t="s">
        <v>768</v>
      </c>
      <c r="H9" t="s">
        <v>776</v>
      </c>
      <c r="I9" t="s">
        <v>770</v>
      </c>
      <c r="J9" t="s">
        <v>771</v>
      </c>
      <c r="K9" t="s">
        <v>777</v>
      </c>
      <c r="L9" t="s">
        <v>879</v>
      </c>
      <c r="M9" s="12">
        <v>46255</v>
      </c>
      <c r="N9" t="s">
        <v>880</v>
      </c>
    </row>
    <row r="10" spans="1:14">
      <c r="A10" t="s">
        <v>787</v>
      </c>
      <c r="B10" t="s">
        <v>157</v>
      </c>
      <c r="C10" t="s">
        <v>158</v>
      </c>
      <c r="D10">
        <v>200</v>
      </c>
      <c r="E10" t="s">
        <v>72</v>
      </c>
      <c r="F10">
        <v>0</v>
      </c>
      <c r="G10" t="s">
        <v>768</v>
      </c>
      <c r="H10" t="s">
        <v>788</v>
      </c>
      <c r="I10" t="s">
        <v>770</v>
      </c>
      <c r="J10" t="s">
        <v>771</v>
      </c>
      <c r="K10" t="s">
        <v>777</v>
      </c>
      <c r="L10" t="s">
        <v>879</v>
      </c>
      <c r="M10" s="12">
        <v>46255</v>
      </c>
      <c r="N10" t="s">
        <v>880</v>
      </c>
    </row>
    <row r="11" spans="1:14">
      <c r="A11" t="s">
        <v>789</v>
      </c>
      <c r="B11" t="s">
        <v>165</v>
      </c>
      <c r="C11" t="s">
        <v>166</v>
      </c>
      <c r="D11">
        <v>200</v>
      </c>
      <c r="E11" t="s">
        <v>72</v>
      </c>
      <c r="F11">
        <v>0</v>
      </c>
      <c r="G11" t="s">
        <v>768</v>
      </c>
      <c r="H11" t="s">
        <v>790</v>
      </c>
      <c r="I11" t="s">
        <v>770</v>
      </c>
      <c r="J11" t="s">
        <v>771</v>
      </c>
      <c r="K11" t="s">
        <v>772</v>
      </c>
      <c r="L11" t="s">
        <v>879</v>
      </c>
      <c r="M11" s="12">
        <v>46255</v>
      </c>
      <c r="N11" t="s">
        <v>880</v>
      </c>
    </row>
    <row r="12" spans="1:14">
      <c r="A12" t="s">
        <v>791</v>
      </c>
      <c r="B12" t="s">
        <v>173</v>
      </c>
      <c r="C12" t="s">
        <v>174</v>
      </c>
      <c r="D12">
        <v>200</v>
      </c>
      <c r="E12" t="s">
        <v>72</v>
      </c>
      <c r="F12">
        <v>0</v>
      </c>
      <c r="G12" t="s">
        <v>768</v>
      </c>
      <c r="H12" t="s">
        <v>783</v>
      </c>
      <c r="I12" t="s">
        <v>770</v>
      </c>
      <c r="J12" t="s">
        <v>771</v>
      </c>
      <c r="K12" t="s">
        <v>772</v>
      </c>
      <c r="L12" t="s">
        <v>879</v>
      </c>
      <c r="M12" s="12">
        <v>46255</v>
      </c>
      <c r="N12" t="s">
        <v>880</v>
      </c>
    </row>
    <row r="13" spans="1:14">
      <c r="A13" t="s">
        <v>792</v>
      </c>
      <c r="B13" t="s">
        <v>181</v>
      </c>
      <c r="C13" t="s">
        <v>182</v>
      </c>
      <c r="D13">
        <v>200</v>
      </c>
      <c r="E13" t="s">
        <v>72</v>
      </c>
      <c r="F13">
        <v>0</v>
      </c>
      <c r="G13" t="s">
        <v>768</v>
      </c>
      <c r="H13" t="s">
        <v>790</v>
      </c>
      <c r="I13" t="s">
        <v>770</v>
      </c>
      <c r="J13" t="s">
        <v>771</v>
      </c>
      <c r="K13" t="s">
        <v>772</v>
      </c>
      <c r="L13" t="s">
        <v>879</v>
      </c>
      <c r="M13" s="12">
        <v>46255</v>
      </c>
      <c r="N13" t="s">
        <v>880</v>
      </c>
    </row>
    <row r="14" spans="1:14">
      <c r="A14" t="s">
        <v>793</v>
      </c>
      <c r="B14" t="s">
        <v>189</v>
      </c>
      <c r="C14" t="s">
        <v>190</v>
      </c>
      <c r="D14">
        <v>200</v>
      </c>
      <c r="E14" t="s">
        <v>72</v>
      </c>
      <c r="F14">
        <v>0</v>
      </c>
      <c r="G14" t="s">
        <v>768</v>
      </c>
      <c r="H14" t="s">
        <v>794</v>
      </c>
      <c r="I14" t="s">
        <v>770</v>
      </c>
      <c r="J14" t="s">
        <v>771</v>
      </c>
      <c r="K14" t="s">
        <v>780</v>
      </c>
      <c r="L14" t="s">
        <v>879</v>
      </c>
      <c r="M14" s="12">
        <v>46255</v>
      </c>
      <c r="N14" t="s">
        <v>880</v>
      </c>
    </row>
    <row r="15" spans="1:14">
      <c r="A15" t="s">
        <v>795</v>
      </c>
      <c r="B15" t="s">
        <v>199</v>
      </c>
      <c r="C15" t="s">
        <v>200</v>
      </c>
      <c r="D15">
        <v>200</v>
      </c>
      <c r="E15" t="s">
        <v>72</v>
      </c>
      <c r="F15">
        <v>0</v>
      </c>
      <c r="G15" t="s">
        <v>768</v>
      </c>
      <c r="H15" t="s">
        <v>783</v>
      </c>
      <c r="I15" t="s">
        <v>770</v>
      </c>
      <c r="J15" t="s">
        <v>771</v>
      </c>
      <c r="K15" t="s">
        <v>772</v>
      </c>
      <c r="L15" t="s">
        <v>879</v>
      </c>
      <c r="M15" s="12">
        <v>46255</v>
      </c>
      <c r="N15" t="s">
        <v>880</v>
      </c>
    </row>
    <row r="16" spans="1:14">
      <c r="A16" t="s">
        <v>796</v>
      </c>
      <c r="B16" t="s">
        <v>206</v>
      </c>
      <c r="C16" t="s">
        <v>208</v>
      </c>
      <c r="D16">
        <v>200</v>
      </c>
      <c r="E16" t="s">
        <v>72</v>
      </c>
      <c r="F16">
        <v>0</v>
      </c>
      <c r="G16" t="s">
        <v>797</v>
      </c>
      <c r="H16" t="s">
        <v>798</v>
      </c>
      <c r="I16" t="s">
        <v>798</v>
      </c>
      <c r="J16" t="s">
        <v>771</v>
      </c>
      <c r="K16" t="s">
        <v>772</v>
      </c>
      <c r="L16" t="s">
        <v>879</v>
      </c>
      <c r="M16" s="12">
        <v>46255</v>
      </c>
      <c r="N16" t="s">
        <v>880</v>
      </c>
    </row>
    <row r="17" spans="1:14">
      <c r="A17" t="s">
        <v>799</v>
      </c>
      <c r="B17" t="s">
        <v>215</v>
      </c>
      <c r="C17" t="s">
        <v>216</v>
      </c>
      <c r="D17">
        <v>200</v>
      </c>
      <c r="E17" t="s">
        <v>72</v>
      </c>
      <c r="F17">
        <v>0</v>
      </c>
      <c r="G17" t="s">
        <v>768</v>
      </c>
      <c r="H17" t="s">
        <v>800</v>
      </c>
      <c r="I17" t="s">
        <v>770</v>
      </c>
      <c r="J17" t="s">
        <v>771</v>
      </c>
      <c r="K17" t="s">
        <v>777</v>
      </c>
      <c r="L17" t="s">
        <v>879</v>
      </c>
      <c r="M17" s="12">
        <v>46255</v>
      </c>
      <c r="N17" t="s">
        <v>880</v>
      </c>
    </row>
    <row r="18" spans="1:14">
      <c r="A18" t="s">
        <v>801</v>
      </c>
      <c r="B18" t="s">
        <v>221</v>
      </c>
      <c r="C18" t="s">
        <v>222</v>
      </c>
      <c r="D18">
        <v>200</v>
      </c>
      <c r="E18" t="s">
        <v>72</v>
      </c>
      <c r="F18">
        <v>0</v>
      </c>
      <c r="G18" t="s">
        <v>768</v>
      </c>
      <c r="H18" t="s">
        <v>790</v>
      </c>
      <c r="I18" t="s">
        <v>770</v>
      </c>
      <c r="J18" t="s">
        <v>771</v>
      </c>
      <c r="K18" t="s">
        <v>772</v>
      </c>
      <c r="L18" t="s">
        <v>879</v>
      </c>
      <c r="M18" s="12">
        <v>46255</v>
      </c>
      <c r="N18" t="s">
        <v>880</v>
      </c>
    </row>
    <row r="19" spans="1:14">
      <c r="A19" t="s">
        <v>802</v>
      </c>
      <c r="B19" t="s">
        <v>228</v>
      </c>
      <c r="C19" t="s">
        <v>229</v>
      </c>
      <c r="D19">
        <v>200</v>
      </c>
      <c r="E19" t="s">
        <v>72</v>
      </c>
      <c r="F19">
        <v>0</v>
      </c>
      <c r="G19" t="s">
        <v>768</v>
      </c>
      <c r="H19" t="s">
        <v>774</v>
      </c>
      <c r="I19" t="s">
        <v>770</v>
      </c>
      <c r="J19" t="s">
        <v>771</v>
      </c>
      <c r="K19" t="s">
        <v>772</v>
      </c>
      <c r="L19" t="s">
        <v>879</v>
      </c>
      <c r="M19" s="12">
        <v>46255</v>
      </c>
      <c r="N19" t="s">
        <v>880</v>
      </c>
    </row>
    <row r="20" spans="1:14">
      <c r="A20" t="s">
        <v>803</v>
      </c>
      <c r="B20" t="s">
        <v>235</v>
      </c>
      <c r="C20" t="s">
        <v>236</v>
      </c>
      <c r="D20">
        <v>200</v>
      </c>
      <c r="E20" t="s">
        <v>72</v>
      </c>
      <c r="F20">
        <v>0</v>
      </c>
      <c r="G20" t="s">
        <v>768</v>
      </c>
      <c r="H20" t="s">
        <v>790</v>
      </c>
      <c r="I20" t="s">
        <v>770</v>
      </c>
      <c r="J20" t="s">
        <v>771</v>
      </c>
      <c r="K20" t="s">
        <v>772</v>
      </c>
      <c r="L20" t="s">
        <v>879</v>
      </c>
      <c r="M20" s="12">
        <v>46255</v>
      </c>
      <c r="N20" t="s">
        <v>880</v>
      </c>
    </row>
    <row r="21" spans="1:14">
      <c r="A21" t="s">
        <v>804</v>
      </c>
      <c r="B21" t="s">
        <v>243</v>
      </c>
      <c r="C21" t="s">
        <v>244</v>
      </c>
      <c r="D21">
        <v>200</v>
      </c>
      <c r="E21" t="s">
        <v>72</v>
      </c>
      <c r="F21">
        <v>0</v>
      </c>
      <c r="G21" t="s">
        <v>768</v>
      </c>
      <c r="H21" t="s">
        <v>790</v>
      </c>
      <c r="I21" t="s">
        <v>770</v>
      </c>
      <c r="J21" t="s">
        <v>771</v>
      </c>
      <c r="K21" t="s">
        <v>772</v>
      </c>
      <c r="L21" t="s">
        <v>879</v>
      </c>
      <c r="M21" s="12">
        <v>46255</v>
      </c>
      <c r="N21" t="s">
        <v>880</v>
      </c>
    </row>
    <row r="22" spans="1:14">
      <c r="A22" t="s">
        <v>805</v>
      </c>
      <c r="B22" t="s">
        <v>251</v>
      </c>
      <c r="C22" t="s">
        <v>252</v>
      </c>
      <c r="D22">
        <v>200</v>
      </c>
      <c r="E22" t="s">
        <v>72</v>
      </c>
      <c r="F22">
        <v>0</v>
      </c>
      <c r="G22" t="s">
        <v>768</v>
      </c>
      <c r="H22" t="s">
        <v>800</v>
      </c>
      <c r="I22" t="s">
        <v>770</v>
      </c>
      <c r="J22" t="s">
        <v>771</v>
      </c>
      <c r="K22" t="s">
        <v>777</v>
      </c>
      <c r="L22" t="s">
        <v>879</v>
      </c>
      <c r="M22" s="12">
        <v>46255</v>
      </c>
      <c r="N22" t="s">
        <v>880</v>
      </c>
    </row>
    <row r="23" spans="1:14">
      <c r="A23" t="s">
        <v>806</v>
      </c>
      <c r="B23" t="s">
        <v>261</v>
      </c>
      <c r="C23" t="s">
        <v>262</v>
      </c>
      <c r="D23">
        <v>200</v>
      </c>
      <c r="E23" t="s">
        <v>72</v>
      </c>
      <c r="F23">
        <v>0</v>
      </c>
      <c r="G23" t="s">
        <v>768</v>
      </c>
      <c r="H23" t="s">
        <v>774</v>
      </c>
      <c r="I23" t="s">
        <v>770</v>
      </c>
      <c r="J23" t="s">
        <v>771</v>
      </c>
      <c r="K23" t="s">
        <v>772</v>
      </c>
      <c r="L23" t="s">
        <v>879</v>
      </c>
      <c r="M23" s="12">
        <v>46255</v>
      </c>
      <c r="N23" t="s">
        <v>880</v>
      </c>
    </row>
    <row r="24" spans="1:14">
      <c r="A24" t="s">
        <v>807</v>
      </c>
      <c r="B24" t="s">
        <v>269</v>
      </c>
      <c r="C24" t="s">
        <v>270</v>
      </c>
      <c r="D24">
        <v>200</v>
      </c>
      <c r="E24" t="s">
        <v>72</v>
      </c>
      <c r="F24">
        <v>0</v>
      </c>
      <c r="G24" t="s">
        <v>768</v>
      </c>
      <c r="H24" t="s">
        <v>783</v>
      </c>
      <c r="I24" t="s">
        <v>770</v>
      </c>
      <c r="J24" t="s">
        <v>771</v>
      </c>
      <c r="K24" t="s">
        <v>772</v>
      </c>
      <c r="L24" t="s">
        <v>879</v>
      </c>
      <c r="M24" s="12">
        <v>46255</v>
      </c>
      <c r="N24" t="s">
        <v>880</v>
      </c>
    </row>
    <row r="25" spans="1:14">
      <c r="A25" t="s">
        <v>808</v>
      </c>
      <c r="B25" t="s">
        <v>277</v>
      </c>
      <c r="C25" t="s">
        <v>278</v>
      </c>
      <c r="D25">
        <v>200</v>
      </c>
      <c r="E25" t="s">
        <v>72</v>
      </c>
      <c r="F25">
        <v>0</v>
      </c>
      <c r="G25" t="s">
        <v>768</v>
      </c>
      <c r="H25" t="s">
        <v>800</v>
      </c>
      <c r="I25" t="s">
        <v>770</v>
      </c>
      <c r="J25" t="s">
        <v>771</v>
      </c>
      <c r="K25" t="s">
        <v>777</v>
      </c>
      <c r="L25" t="s">
        <v>879</v>
      </c>
      <c r="M25" s="12">
        <v>46255</v>
      </c>
      <c r="N25" t="s">
        <v>880</v>
      </c>
    </row>
    <row r="26" spans="1:14">
      <c r="A26" t="s">
        <v>809</v>
      </c>
      <c r="B26" t="s">
        <v>285</v>
      </c>
      <c r="C26" t="s">
        <v>286</v>
      </c>
      <c r="D26">
        <v>200</v>
      </c>
      <c r="E26" t="s">
        <v>72</v>
      </c>
      <c r="F26">
        <v>0</v>
      </c>
      <c r="G26" t="s">
        <v>768</v>
      </c>
      <c r="H26" t="s">
        <v>800</v>
      </c>
      <c r="I26" t="s">
        <v>770</v>
      </c>
      <c r="J26" t="s">
        <v>771</v>
      </c>
      <c r="K26" t="s">
        <v>777</v>
      </c>
      <c r="L26" t="s">
        <v>879</v>
      </c>
      <c r="M26" s="12">
        <v>46255</v>
      </c>
      <c r="N26" t="s">
        <v>880</v>
      </c>
    </row>
    <row r="27" spans="1:14">
      <c r="A27" t="s">
        <v>810</v>
      </c>
      <c r="B27" t="s">
        <v>293</v>
      </c>
      <c r="C27" t="s">
        <v>294</v>
      </c>
      <c r="D27">
        <v>200</v>
      </c>
      <c r="E27" t="s">
        <v>72</v>
      </c>
      <c r="F27">
        <v>0</v>
      </c>
      <c r="G27" t="s">
        <v>768</v>
      </c>
      <c r="H27" t="s">
        <v>800</v>
      </c>
      <c r="I27" t="s">
        <v>770</v>
      </c>
      <c r="J27" t="s">
        <v>771</v>
      </c>
      <c r="K27" t="s">
        <v>777</v>
      </c>
      <c r="L27" t="s">
        <v>879</v>
      </c>
      <c r="M27" s="12">
        <v>46255</v>
      </c>
      <c r="N27" t="s">
        <v>880</v>
      </c>
    </row>
    <row r="28" spans="1:14">
      <c r="A28" t="s">
        <v>811</v>
      </c>
      <c r="B28" t="s">
        <v>301</v>
      </c>
      <c r="C28" t="s">
        <v>302</v>
      </c>
      <c r="D28">
        <v>200</v>
      </c>
      <c r="E28" t="s">
        <v>72</v>
      </c>
      <c r="F28">
        <v>0</v>
      </c>
      <c r="G28" t="s">
        <v>768</v>
      </c>
      <c r="H28" t="s">
        <v>774</v>
      </c>
      <c r="I28" t="s">
        <v>770</v>
      </c>
      <c r="J28" t="s">
        <v>771</v>
      </c>
      <c r="K28" t="s">
        <v>772</v>
      </c>
      <c r="L28" t="s">
        <v>879</v>
      </c>
      <c r="M28" s="12">
        <v>46255</v>
      </c>
      <c r="N28" t="s">
        <v>880</v>
      </c>
    </row>
    <row r="29" spans="1:14">
      <c r="A29" t="s">
        <v>812</v>
      </c>
      <c r="B29" t="s">
        <v>309</v>
      </c>
      <c r="C29" t="s">
        <v>310</v>
      </c>
      <c r="D29">
        <v>200</v>
      </c>
      <c r="E29" t="s">
        <v>72</v>
      </c>
      <c r="F29">
        <v>0</v>
      </c>
      <c r="G29" t="s">
        <v>768</v>
      </c>
      <c r="H29" t="s">
        <v>774</v>
      </c>
      <c r="I29" t="s">
        <v>770</v>
      </c>
      <c r="J29" t="s">
        <v>771</v>
      </c>
      <c r="K29" t="s">
        <v>772</v>
      </c>
      <c r="L29" t="s">
        <v>879</v>
      </c>
      <c r="M29" s="12">
        <v>46255</v>
      </c>
      <c r="N29" t="s">
        <v>880</v>
      </c>
    </row>
    <row r="30" spans="1:14">
      <c r="A30" t="s">
        <v>813</v>
      </c>
      <c r="B30" t="s">
        <v>317</v>
      </c>
      <c r="C30" t="s">
        <v>318</v>
      </c>
      <c r="D30">
        <v>200</v>
      </c>
      <c r="E30" t="s">
        <v>72</v>
      </c>
      <c r="F30">
        <v>0</v>
      </c>
      <c r="G30" t="s">
        <v>768</v>
      </c>
      <c r="H30" t="s">
        <v>774</v>
      </c>
      <c r="I30" t="s">
        <v>770</v>
      </c>
      <c r="J30" t="s">
        <v>771</v>
      </c>
      <c r="K30" t="s">
        <v>772</v>
      </c>
      <c r="L30" t="s">
        <v>879</v>
      </c>
      <c r="M30" s="12">
        <v>46255</v>
      </c>
      <c r="N30" t="s">
        <v>880</v>
      </c>
    </row>
    <row r="31" spans="1:14">
      <c r="A31" t="s">
        <v>814</v>
      </c>
      <c r="B31" t="s">
        <v>324</v>
      </c>
      <c r="C31" t="s">
        <v>325</v>
      </c>
      <c r="D31">
        <v>200</v>
      </c>
      <c r="E31" t="s">
        <v>72</v>
      </c>
      <c r="F31">
        <v>0</v>
      </c>
      <c r="G31" t="s">
        <v>768</v>
      </c>
      <c r="H31" t="s">
        <v>774</v>
      </c>
      <c r="I31" t="s">
        <v>770</v>
      </c>
      <c r="J31" t="s">
        <v>771</v>
      </c>
      <c r="K31" t="s">
        <v>772</v>
      </c>
      <c r="L31" t="s">
        <v>879</v>
      </c>
      <c r="M31" s="12">
        <v>46255</v>
      </c>
      <c r="N31" t="s">
        <v>880</v>
      </c>
    </row>
    <row r="32" spans="1:14">
      <c r="A32" t="s">
        <v>815</v>
      </c>
      <c r="B32" t="s">
        <v>330</v>
      </c>
      <c r="C32" t="s">
        <v>331</v>
      </c>
      <c r="D32">
        <v>200</v>
      </c>
      <c r="E32" t="s">
        <v>72</v>
      </c>
      <c r="F32">
        <v>0</v>
      </c>
      <c r="G32" t="s">
        <v>768</v>
      </c>
      <c r="H32" t="s">
        <v>774</v>
      </c>
      <c r="I32" t="s">
        <v>770</v>
      </c>
      <c r="J32" t="s">
        <v>771</v>
      </c>
      <c r="K32" t="s">
        <v>772</v>
      </c>
      <c r="L32" t="s">
        <v>879</v>
      </c>
      <c r="M32" s="12">
        <v>46255</v>
      </c>
      <c r="N32" t="s">
        <v>880</v>
      </c>
    </row>
    <row r="33" spans="1:14">
      <c r="A33" t="s">
        <v>816</v>
      </c>
      <c r="B33" t="s">
        <v>338</v>
      </c>
      <c r="C33" t="s">
        <v>339</v>
      </c>
      <c r="D33">
        <v>200</v>
      </c>
      <c r="E33" t="s">
        <v>72</v>
      </c>
      <c r="F33">
        <v>0</v>
      </c>
      <c r="G33" t="s">
        <v>768</v>
      </c>
      <c r="H33" t="s">
        <v>774</v>
      </c>
      <c r="I33" t="s">
        <v>770</v>
      </c>
      <c r="J33" t="s">
        <v>771</v>
      </c>
      <c r="K33" t="s">
        <v>772</v>
      </c>
      <c r="L33" t="s">
        <v>879</v>
      </c>
      <c r="M33" s="12">
        <v>46255</v>
      </c>
      <c r="N33" t="s">
        <v>880</v>
      </c>
    </row>
    <row r="34" spans="1:14">
      <c r="A34" t="s">
        <v>817</v>
      </c>
      <c r="B34" t="s">
        <v>346</v>
      </c>
      <c r="C34" t="s">
        <v>347</v>
      </c>
      <c r="D34">
        <v>200</v>
      </c>
      <c r="E34" t="s">
        <v>72</v>
      </c>
      <c r="F34">
        <v>0</v>
      </c>
      <c r="G34" t="s">
        <v>768</v>
      </c>
      <c r="H34" t="s">
        <v>774</v>
      </c>
      <c r="I34" t="s">
        <v>770</v>
      </c>
      <c r="J34" t="s">
        <v>771</v>
      </c>
      <c r="K34" t="s">
        <v>772</v>
      </c>
      <c r="L34" t="s">
        <v>879</v>
      </c>
      <c r="M34" s="12">
        <v>46255</v>
      </c>
      <c r="N34" t="s">
        <v>880</v>
      </c>
    </row>
    <row r="35" spans="1:14">
      <c r="A35" t="s">
        <v>818</v>
      </c>
      <c r="B35" t="s">
        <v>354</v>
      </c>
      <c r="C35" t="s">
        <v>355</v>
      </c>
      <c r="D35">
        <v>200</v>
      </c>
      <c r="E35" t="s">
        <v>72</v>
      </c>
      <c r="F35">
        <v>0</v>
      </c>
      <c r="G35" t="s">
        <v>768</v>
      </c>
      <c r="H35" t="s">
        <v>774</v>
      </c>
      <c r="I35" t="s">
        <v>770</v>
      </c>
      <c r="J35" t="s">
        <v>771</v>
      </c>
      <c r="K35" t="s">
        <v>772</v>
      </c>
      <c r="L35" t="s">
        <v>879</v>
      </c>
      <c r="M35" s="12">
        <v>46255</v>
      </c>
      <c r="N35" t="s">
        <v>880</v>
      </c>
    </row>
    <row r="36" spans="1:14">
      <c r="A36" t="s">
        <v>819</v>
      </c>
      <c r="B36" t="s">
        <v>361</v>
      </c>
      <c r="C36" t="s">
        <v>362</v>
      </c>
      <c r="D36">
        <v>200</v>
      </c>
      <c r="E36" t="s">
        <v>72</v>
      </c>
      <c r="F36">
        <v>0</v>
      </c>
      <c r="G36" t="s">
        <v>768</v>
      </c>
      <c r="H36" t="s">
        <v>774</v>
      </c>
      <c r="I36" t="s">
        <v>770</v>
      </c>
      <c r="J36" t="s">
        <v>771</v>
      </c>
      <c r="K36" t="s">
        <v>772</v>
      </c>
      <c r="L36" t="s">
        <v>879</v>
      </c>
      <c r="M36" s="12">
        <v>46255</v>
      </c>
      <c r="N36" t="s">
        <v>880</v>
      </c>
    </row>
    <row r="37" spans="1:14">
      <c r="A37" t="s">
        <v>820</v>
      </c>
      <c r="B37" t="s">
        <v>369</v>
      </c>
      <c r="C37" t="s">
        <v>370</v>
      </c>
      <c r="D37">
        <v>200</v>
      </c>
      <c r="E37" t="s">
        <v>72</v>
      </c>
      <c r="F37">
        <v>0</v>
      </c>
      <c r="G37" t="s">
        <v>768</v>
      </c>
      <c r="H37" t="s">
        <v>774</v>
      </c>
      <c r="I37" t="s">
        <v>770</v>
      </c>
      <c r="J37" t="s">
        <v>771</v>
      </c>
      <c r="K37" t="s">
        <v>772</v>
      </c>
      <c r="L37" t="s">
        <v>879</v>
      </c>
      <c r="M37" s="12">
        <v>46255</v>
      </c>
      <c r="N37" t="s">
        <v>880</v>
      </c>
    </row>
    <row r="38" spans="1:14">
      <c r="A38" t="s">
        <v>821</v>
      </c>
      <c r="B38" t="s">
        <v>380</v>
      </c>
      <c r="C38" t="s">
        <v>381</v>
      </c>
      <c r="D38">
        <v>200</v>
      </c>
      <c r="E38" t="s">
        <v>72</v>
      </c>
      <c r="F38">
        <v>0</v>
      </c>
      <c r="G38" t="s">
        <v>768</v>
      </c>
      <c r="H38" t="s">
        <v>774</v>
      </c>
      <c r="I38" t="s">
        <v>770</v>
      </c>
      <c r="J38" t="s">
        <v>771</v>
      </c>
      <c r="K38" t="s">
        <v>772</v>
      </c>
      <c r="L38" t="s">
        <v>879</v>
      </c>
      <c r="M38" s="12">
        <v>46255</v>
      </c>
      <c r="N38" t="s">
        <v>880</v>
      </c>
    </row>
    <row r="39" spans="1:14">
      <c r="A39" t="s">
        <v>822</v>
      </c>
      <c r="B39" t="s">
        <v>392</v>
      </c>
      <c r="C39" t="s">
        <v>208</v>
      </c>
      <c r="D39">
        <v>200</v>
      </c>
      <c r="E39" t="s">
        <v>72</v>
      </c>
      <c r="F39">
        <v>0</v>
      </c>
      <c r="G39" t="s">
        <v>797</v>
      </c>
      <c r="H39" t="s">
        <v>798</v>
      </c>
      <c r="I39" t="s">
        <v>798</v>
      </c>
      <c r="J39" t="s">
        <v>771</v>
      </c>
      <c r="K39" t="s">
        <v>772</v>
      </c>
      <c r="L39" t="s">
        <v>879</v>
      </c>
      <c r="M39" s="12">
        <v>46255</v>
      </c>
      <c r="N39" t="s">
        <v>880</v>
      </c>
    </row>
    <row r="40" spans="1:14">
      <c r="A40" t="s">
        <v>823</v>
      </c>
      <c r="B40" t="s">
        <v>396</v>
      </c>
      <c r="C40" t="s">
        <v>208</v>
      </c>
      <c r="D40">
        <v>200</v>
      </c>
      <c r="E40" t="s">
        <v>72</v>
      </c>
      <c r="F40">
        <v>0</v>
      </c>
      <c r="G40" t="s">
        <v>797</v>
      </c>
      <c r="H40" t="s">
        <v>798</v>
      </c>
      <c r="I40" t="s">
        <v>798</v>
      </c>
      <c r="J40" t="s">
        <v>771</v>
      </c>
      <c r="K40" t="s">
        <v>772</v>
      </c>
      <c r="L40" t="s">
        <v>879</v>
      </c>
      <c r="M40" s="12">
        <v>46255</v>
      </c>
      <c r="N40" t="s">
        <v>880</v>
      </c>
    </row>
    <row r="41" spans="1:14">
      <c r="A41" t="s">
        <v>824</v>
      </c>
      <c r="B41" t="s">
        <v>402</v>
      </c>
      <c r="C41" t="s">
        <v>208</v>
      </c>
      <c r="D41">
        <v>200</v>
      </c>
      <c r="E41" t="s">
        <v>72</v>
      </c>
      <c r="F41">
        <v>0</v>
      </c>
      <c r="G41" t="s">
        <v>797</v>
      </c>
      <c r="H41" t="s">
        <v>798</v>
      </c>
      <c r="I41" t="s">
        <v>798</v>
      </c>
      <c r="J41" t="s">
        <v>771</v>
      </c>
      <c r="K41" t="s">
        <v>772</v>
      </c>
      <c r="L41" t="s">
        <v>879</v>
      </c>
      <c r="M41" s="12">
        <v>46255</v>
      </c>
      <c r="N41" t="s">
        <v>880</v>
      </c>
    </row>
    <row r="42" spans="1:14">
      <c r="A42" t="s">
        <v>825</v>
      </c>
      <c r="B42" t="s">
        <v>405</v>
      </c>
      <c r="C42" t="s">
        <v>216</v>
      </c>
      <c r="D42">
        <v>200</v>
      </c>
      <c r="E42" t="s">
        <v>87</v>
      </c>
      <c r="F42" t="s">
        <v>406</v>
      </c>
      <c r="G42" t="s">
        <v>768</v>
      </c>
      <c r="H42" t="s">
        <v>800</v>
      </c>
      <c r="I42" t="s">
        <v>770</v>
      </c>
      <c r="J42" t="s">
        <v>771</v>
      </c>
      <c r="K42" t="s">
        <v>777</v>
      </c>
      <c r="L42" t="s">
        <v>879</v>
      </c>
      <c r="M42" s="12">
        <v>46255</v>
      </c>
      <c r="N42" t="s">
        <v>880</v>
      </c>
    </row>
    <row r="43" spans="1:14">
      <c r="A43" t="s">
        <v>826</v>
      </c>
      <c r="B43" t="s">
        <v>409</v>
      </c>
      <c r="C43" t="s">
        <v>216</v>
      </c>
      <c r="D43">
        <v>200</v>
      </c>
      <c r="E43" t="s">
        <v>87</v>
      </c>
      <c r="F43" t="s">
        <v>406</v>
      </c>
      <c r="G43" t="s">
        <v>768</v>
      </c>
      <c r="H43" t="s">
        <v>800</v>
      </c>
      <c r="I43" t="s">
        <v>770</v>
      </c>
      <c r="J43" t="s">
        <v>771</v>
      </c>
      <c r="K43" t="s">
        <v>777</v>
      </c>
      <c r="L43" t="s">
        <v>879</v>
      </c>
      <c r="M43" s="12">
        <v>46255</v>
      </c>
      <c r="N43" t="s">
        <v>880</v>
      </c>
    </row>
    <row r="44" spans="1:14">
      <c r="A44" t="s">
        <v>827</v>
      </c>
      <c r="B44" t="s">
        <v>412</v>
      </c>
      <c r="C44" t="s">
        <v>208</v>
      </c>
      <c r="D44">
        <v>200</v>
      </c>
      <c r="E44" t="s">
        <v>72</v>
      </c>
      <c r="F44">
        <v>0</v>
      </c>
      <c r="G44" t="s">
        <v>797</v>
      </c>
      <c r="H44" t="s">
        <v>798</v>
      </c>
      <c r="I44" t="s">
        <v>798</v>
      </c>
      <c r="J44" t="s">
        <v>771</v>
      </c>
      <c r="K44" t="s">
        <v>772</v>
      </c>
      <c r="L44" t="s">
        <v>879</v>
      </c>
      <c r="M44" s="12">
        <v>46255</v>
      </c>
      <c r="N44" t="s">
        <v>880</v>
      </c>
    </row>
    <row r="45" spans="1:14">
      <c r="A45" t="s">
        <v>828</v>
      </c>
      <c r="B45" t="s">
        <v>419</v>
      </c>
      <c r="C45" t="s">
        <v>420</v>
      </c>
      <c r="D45">
        <v>200</v>
      </c>
      <c r="E45" t="s">
        <v>72</v>
      </c>
      <c r="F45">
        <v>0</v>
      </c>
      <c r="G45" t="s">
        <v>768</v>
      </c>
      <c r="H45" t="s">
        <v>829</v>
      </c>
      <c r="I45" t="s">
        <v>830</v>
      </c>
      <c r="J45" t="s">
        <v>771</v>
      </c>
      <c r="K45" t="s">
        <v>831</v>
      </c>
      <c r="L45" t="s">
        <v>879</v>
      </c>
      <c r="M45" s="12">
        <v>46255</v>
      </c>
      <c r="N45" t="s">
        <v>880</v>
      </c>
    </row>
    <row r="46" spans="1:14">
      <c r="A46" t="s">
        <v>832</v>
      </c>
      <c r="B46" t="s">
        <v>426</v>
      </c>
      <c r="C46" t="s">
        <v>428</v>
      </c>
      <c r="D46">
        <v>200</v>
      </c>
      <c r="E46" t="s">
        <v>87</v>
      </c>
      <c r="F46" t="s">
        <v>427</v>
      </c>
      <c r="G46" t="s">
        <v>768</v>
      </c>
      <c r="H46" t="s">
        <v>829</v>
      </c>
      <c r="I46" t="s">
        <v>830</v>
      </c>
      <c r="J46" t="s">
        <v>771</v>
      </c>
      <c r="K46" t="s">
        <v>831</v>
      </c>
      <c r="L46" t="s">
        <v>879</v>
      </c>
      <c r="M46" s="12">
        <v>46255</v>
      </c>
      <c r="N46" t="s">
        <v>880</v>
      </c>
    </row>
    <row r="47" spans="1:14">
      <c r="A47" t="s">
        <v>833</v>
      </c>
      <c r="B47" t="s">
        <v>432</v>
      </c>
      <c r="C47" t="s">
        <v>420</v>
      </c>
      <c r="D47">
        <v>200</v>
      </c>
      <c r="E47" t="s">
        <v>72</v>
      </c>
      <c r="F47">
        <v>0</v>
      </c>
      <c r="G47" t="s">
        <v>768</v>
      </c>
      <c r="H47" t="s">
        <v>829</v>
      </c>
      <c r="I47" t="s">
        <v>830</v>
      </c>
      <c r="J47" t="s">
        <v>771</v>
      </c>
      <c r="K47" t="s">
        <v>831</v>
      </c>
      <c r="L47" t="s">
        <v>879</v>
      </c>
      <c r="M47" s="12">
        <v>46255</v>
      </c>
      <c r="N47" t="s">
        <v>880</v>
      </c>
    </row>
    <row r="48" spans="1:14">
      <c r="A48" t="s">
        <v>834</v>
      </c>
      <c r="B48" t="s">
        <v>435</v>
      </c>
      <c r="C48" t="s">
        <v>436</v>
      </c>
      <c r="D48">
        <v>200</v>
      </c>
      <c r="E48" t="s">
        <v>72</v>
      </c>
      <c r="F48">
        <v>0</v>
      </c>
      <c r="G48" t="s">
        <v>768</v>
      </c>
      <c r="H48" t="s">
        <v>829</v>
      </c>
      <c r="I48" t="s">
        <v>830</v>
      </c>
      <c r="J48" t="s">
        <v>771</v>
      </c>
      <c r="K48" t="s">
        <v>831</v>
      </c>
      <c r="L48" t="s">
        <v>879</v>
      </c>
      <c r="M48" s="12">
        <v>46255</v>
      </c>
      <c r="N48" t="s">
        <v>880</v>
      </c>
    </row>
    <row r="49" spans="1:14">
      <c r="A49" t="s">
        <v>835</v>
      </c>
      <c r="B49" t="s">
        <v>440</v>
      </c>
      <c r="C49" t="s">
        <v>420</v>
      </c>
      <c r="D49">
        <v>200</v>
      </c>
      <c r="E49" t="s">
        <v>72</v>
      </c>
      <c r="F49">
        <v>0</v>
      </c>
      <c r="G49" t="s">
        <v>768</v>
      </c>
      <c r="H49" t="s">
        <v>829</v>
      </c>
      <c r="I49" t="s">
        <v>830</v>
      </c>
      <c r="J49" t="s">
        <v>771</v>
      </c>
      <c r="K49" t="s">
        <v>831</v>
      </c>
      <c r="L49" t="s">
        <v>879</v>
      </c>
      <c r="M49" s="12">
        <v>46255</v>
      </c>
      <c r="N49" t="s">
        <v>880</v>
      </c>
    </row>
    <row r="50" spans="1:14">
      <c r="A50" t="s">
        <v>836</v>
      </c>
      <c r="B50" t="s">
        <v>443</v>
      </c>
      <c r="C50" t="s">
        <v>436</v>
      </c>
      <c r="D50">
        <v>200</v>
      </c>
      <c r="E50" t="s">
        <v>72</v>
      </c>
      <c r="F50">
        <v>0</v>
      </c>
      <c r="G50" t="s">
        <v>768</v>
      </c>
      <c r="H50" t="s">
        <v>829</v>
      </c>
      <c r="I50" t="s">
        <v>830</v>
      </c>
      <c r="J50" t="s">
        <v>771</v>
      </c>
      <c r="K50" t="s">
        <v>831</v>
      </c>
      <c r="L50" t="s">
        <v>879</v>
      </c>
      <c r="M50" s="12">
        <v>46255</v>
      </c>
      <c r="N50" t="s">
        <v>880</v>
      </c>
    </row>
    <row r="51" spans="1:14">
      <c r="A51" t="s">
        <v>837</v>
      </c>
      <c r="B51" t="s">
        <v>446</v>
      </c>
      <c r="C51" t="s">
        <v>436</v>
      </c>
      <c r="D51">
        <v>200</v>
      </c>
      <c r="E51" t="s">
        <v>72</v>
      </c>
      <c r="F51">
        <v>0</v>
      </c>
      <c r="G51" t="s">
        <v>768</v>
      </c>
      <c r="H51" t="s">
        <v>829</v>
      </c>
      <c r="I51" t="s">
        <v>830</v>
      </c>
      <c r="J51" t="s">
        <v>771</v>
      </c>
      <c r="K51" t="s">
        <v>831</v>
      </c>
      <c r="L51" t="s">
        <v>879</v>
      </c>
      <c r="M51" s="12">
        <v>46255</v>
      </c>
      <c r="N51" t="s">
        <v>880</v>
      </c>
    </row>
    <row r="52" spans="1:14">
      <c r="A52" t="s">
        <v>838</v>
      </c>
      <c r="B52" t="s">
        <v>449</v>
      </c>
      <c r="C52" t="s">
        <v>450</v>
      </c>
      <c r="D52">
        <v>200</v>
      </c>
      <c r="E52" t="s">
        <v>72</v>
      </c>
      <c r="F52">
        <v>0</v>
      </c>
      <c r="G52" t="s">
        <v>768</v>
      </c>
      <c r="H52" t="s">
        <v>829</v>
      </c>
      <c r="I52" t="s">
        <v>830</v>
      </c>
      <c r="J52" t="s">
        <v>771</v>
      </c>
      <c r="K52" t="s">
        <v>831</v>
      </c>
      <c r="L52" t="s">
        <v>879</v>
      </c>
      <c r="M52" s="12">
        <v>46255</v>
      </c>
      <c r="N52" t="s">
        <v>880</v>
      </c>
    </row>
    <row r="53" spans="1:14">
      <c r="A53" t="s">
        <v>839</v>
      </c>
      <c r="B53" t="s">
        <v>453</v>
      </c>
      <c r="C53" t="s">
        <v>450</v>
      </c>
      <c r="D53">
        <v>200</v>
      </c>
      <c r="E53" t="s">
        <v>72</v>
      </c>
      <c r="F53">
        <v>0</v>
      </c>
      <c r="G53" t="s">
        <v>768</v>
      </c>
      <c r="H53" t="s">
        <v>829</v>
      </c>
      <c r="I53" t="s">
        <v>830</v>
      </c>
      <c r="J53" t="s">
        <v>771</v>
      </c>
      <c r="K53" t="s">
        <v>831</v>
      </c>
      <c r="L53" t="s">
        <v>879</v>
      </c>
      <c r="M53" s="12">
        <v>46255</v>
      </c>
      <c r="N53" t="s">
        <v>880</v>
      </c>
    </row>
    <row r="54" spans="1:14">
      <c r="A54" t="s">
        <v>840</v>
      </c>
      <c r="B54" t="s">
        <v>455</v>
      </c>
      <c r="C54" t="s">
        <v>420</v>
      </c>
      <c r="D54">
        <v>200</v>
      </c>
      <c r="E54" t="s">
        <v>72</v>
      </c>
      <c r="F54">
        <v>0</v>
      </c>
      <c r="G54" t="s">
        <v>768</v>
      </c>
      <c r="H54" t="s">
        <v>829</v>
      </c>
      <c r="I54" t="s">
        <v>830</v>
      </c>
      <c r="J54" t="s">
        <v>771</v>
      </c>
      <c r="K54" t="s">
        <v>831</v>
      </c>
      <c r="L54" t="s">
        <v>879</v>
      </c>
      <c r="M54" s="12">
        <v>46255</v>
      </c>
      <c r="N54" t="s">
        <v>880</v>
      </c>
    </row>
    <row r="55" spans="1:14">
      <c r="A55" t="s">
        <v>841</v>
      </c>
      <c r="B55" t="s">
        <v>458</v>
      </c>
      <c r="C55" t="s">
        <v>459</v>
      </c>
      <c r="D55">
        <v>200</v>
      </c>
      <c r="E55" t="s">
        <v>72</v>
      </c>
      <c r="F55">
        <v>0</v>
      </c>
      <c r="G55" t="s">
        <v>768</v>
      </c>
      <c r="H55" t="s">
        <v>790</v>
      </c>
      <c r="I55" t="s">
        <v>770</v>
      </c>
      <c r="J55" t="s">
        <v>771</v>
      </c>
      <c r="K55" t="s">
        <v>772</v>
      </c>
      <c r="L55" t="s">
        <v>879</v>
      </c>
      <c r="M55" s="12">
        <v>46255</v>
      </c>
      <c r="N55" t="s">
        <v>880</v>
      </c>
    </row>
    <row r="56" spans="1:14">
      <c r="A56" t="s">
        <v>842</v>
      </c>
      <c r="B56" t="s">
        <v>464</v>
      </c>
      <c r="C56" t="s">
        <v>465</v>
      </c>
      <c r="D56">
        <v>200</v>
      </c>
      <c r="E56" t="s">
        <v>72</v>
      </c>
      <c r="F56">
        <v>0</v>
      </c>
      <c r="G56" t="s">
        <v>768</v>
      </c>
      <c r="H56" t="s">
        <v>790</v>
      </c>
      <c r="I56" t="s">
        <v>770</v>
      </c>
      <c r="J56" t="s">
        <v>771</v>
      </c>
      <c r="K56" t="s">
        <v>772</v>
      </c>
      <c r="L56" t="s">
        <v>879</v>
      </c>
      <c r="M56" s="12">
        <v>46255</v>
      </c>
      <c r="N56" t="s">
        <v>880</v>
      </c>
    </row>
    <row r="57" spans="1:14">
      <c r="A57" t="s">
        <v>843</v>
      </c>
      <c r="B57" t="s">
        <v>474</v>
      </c>
      <c r="C57" t="s">
        <v>475</v>
      </c>
      <c r="D57">
        <v>200</v>
      </c>
      <c r="E57" t="s">
        <v>72</v>
      </c>
      <c r="F57">
        <v>0</v>
      </c>
      <c r="G57" t="s">
        <v>768</v>
      </c>
      <c r="H57" t="s">
        <v>790</v>
      </c>
      <c r="I57" t="s">
        <v>770</v>
      </c>
      <c r="J57" t="s">
        <v>771</v>
      </c>
      <c r="K57" t="s">
        <v>772</v>
      </c>
      <c r="L57" t="s">
        <v>879</v>
      </c>
      <c r="M57" s="12">
        <v>46255</v>
      </c>
      <c r="N57" t="s">
        <v>880</v>
      </c>
    </row>
    <row r="58" spans="1:14">
      <c r="A58" t="s">
        <v>844</v>
      </c>
      <c r="B58" t="s">
        <v>481</v>
      </c>
      <c r="C58" t="s">
        <v>208</v>
      </c>
      <c r="D58">
        <v>200</v>
      </c>
      <c r="E58" t="s">
        <v>72</v>
      </c>
      <c r="F58">
        <v>0</v>
      </c>
      <c r="G58" t="s">
        <v>797</v>
      </c>
      <c r="H58" t="s">
        <v>798</v>
      </c>
      <c r="I58" t="s">
        <v>798</v>
      </c>
      <c r="J58" t="s">
        <v>771</v>
      </c>
      <c r="K58" t="s">
        <v>772</v>
      </c>
      <c r="L58" t="s">
        <v>879</v>
      </c>
      <c r="M58" s="12">
        <v>46255</v>
      </c>
      <c r="N58" t="s">
        <v>880</v>
      </c>
    </row>
    <row r="59" spans="1:14">
      <c r="A59" t="s">
        <v>845</v>
      </c>
      <c r="B59" t="s">
        <v>485</v>
      </c>
      <c r="C59" t="s">
        <v>208</v>
      </c>
      <c r="D59">
        <v>200</v>
      </c>
      <c r="E59" t="s">
        <v>72</v>
      </c>
      <c r="F59">
        <v>0</v>
      </c>
      <c r="G59" t="s">
        <v>797</v>
      </c>
      <c r="H59" t="s">
        <v>798</v>
      </c>
      <c r="I59" t="s">
        <v>798</v>
      </c>
      <c r="J59" t="s">
        <v>771</v>
      </c>
      <c r="K59" t="s">
        <v>772</v>
      </c>
      <c r="L59" t="s">
        <v>879</v>
      </c>
      <c r="M59" s="12">
        <v>46255</v>
      </c>
      <c r="N59" t="s">
        <v>880</v>
      </c>
    </row>
    <row r="60" spans="1:14">
      <c r="A60" t="s">
        <v>846</v>
      </c>
      <c r="B60" t="s">
        <v>491</v>
      </c>
      <c r="C60" t="s">
        <v>208</v>
      </c>
      <c r="D60">
        <v>200</v>
      </c>
      <c r="E60" t="s">
        <v>72</v>
      </c>
      <c r="F60">
        <v>0</v>
      </c>
      <c r="G60" t="s">
        <v>797</v>
      </c>
      <c r="H60" t="s">
        <v>798</v>
      </c>
      <c r="I60" t="s">
        <v>798</v>
      </c>
      <c r="J60" t="s">
        <v>771</v>
      </c>
      <c r="K60" t="s">
        <v>772</v>
      </c>
      <c r="L60" t="s">
        <v>879</v>
      </c>
      <c r="M60" s="12">
        <v>46255</v>
      </c>
      <c r="N60" t="s">
        <v>880</v>
      </c>
    </row>
    <row r="61" spans="1:14">
      <c r="A61" t="s">
        <v>847</v>
      </c>
      <c r="B61" t="s">
        <v>496</v>
      </c>
      <c r="C61" t="s">
        <v>497</v>
      </c>
      <c r="D61">
        <v>200</v>
      </c>
      <c r="E61" t="s">
        <v>72</v>
      </c>
      <c r="F61">
        <v>0</v>
      </c>
      <c r="G61" t="s">
        <v>768</v>
      </c>
      <c r="H61" t="s">
        <v>774</v>
      </c>
      <c r="I61" t="s">
        <v>770</v>
      </c>
      <c r="J61" t="s">
        <v>771</v>
      </c>
      <c r="K61" t="s">
        <v>772</v>
      </c>
      <c r="L61" t="s">
        <v>879</v>
      </c>
      <c r="M61" s="12">
        <v>46255</v>
      </c>
      <c r="N61" t="s">
        <v>880</v>
      </c>
    </row>
    <row r="62" spans="1:14">
      <c r="A62" t="s">
        <v>848</v>
      </c>
      <c r="B62" t="s">
        <v>504</v>
      </c>
      <c r="C62" t="s">
        <v>505</v>
      </c>
      <c r="D62">
        <v>200</v>
      </c>
      <c r="E62" t="s">
        <v>72</v>
      </c>
      <c r="F62">
        <v>0</v>
      </c>
      <c r="G62" t="s">
        <v>768</v>
      </c>
      <c r="H62" t="s">
        <v>790</v>
      </c>
      <c r="I62" t="s">
        <v>770</v>
      </c>
      <c r="J62" t="s">
        <v>771</v>
      </c>
      <c r="K62" t="s">
        <v>772</v>
      </c>
      <c r="L62" t="s">
        <v>879</v>
      </c>
      <c r="M62" s="12">
        <v>46255</v>
      </c>
      <c r="N62" t="s">
        <v>880</v>
      </c>
    </row>
    <row r="63" spans="1:14">
      <c r="A63" t="s">
        <v>849</v>
      </c>
      <c r="B63" t="s">
        <v>512</v>
      </c>
      <c r="C63" t="s">
        <v>513</v>
      </c>
      <c r="D63">
        <v>200</v>
      </c>
      <c r="E63" t="s">
        <v>72</v>
      </c>
      <c r="F63">
        <v>0</v>
      </c>
      <c r="G63" t="s">
        <v>768</v>
      </c>
      <c r="H63" t="s">
        <v>790</v>
      </c>
      <c r="I63" t="s">
        <v>770</v>
      </c>
      <c r="J63" t="s">
        <v>771</v>
      </c>
      <c r="K63" t="s">
        <v>772</v>
      </c>
      <c r="L63" t="s">
        <v>879</v>
      </c>
      <c r="M63" s="12">
        <v>46255</v>
      </c>
      <c r="N63" t="s">
        <v>880</v>
      </c>
    </row>
    <row r="64" spans="1:14">
      <c r="A64" t="s">
        <v>850</v>
      </c>
      <c r="B64" t="s">
        <v>517</v>
      </c>
      <c r="C64" t="s">
        <v>518</v>
      </c>
      <c r="D64">
        <v>200</v>
      </c>
      <c r="E64" t="s">
        <v>72</v>
      </c>
      <c r="F64">
        <v>0</v>
      </c>
      <c r="G64" t="s">
        <v>768</v>
      </c>
      <c r="H64" t="s">
        <v>790</v>
      </c>
      <c r="I64" t="s">
        <v>770</v>
      </c>
      <c r="J64" t="s">
        <v>771</v>
      </c>
      <c r="K64" t="s">
        <v>772</v>
      </c>
      <c r="L64" t="s">
        <v>879</v>
      </c>
      <c r="M64" s="12">
        <v>46255</v>
      </c>
      <c r="N64" t="s">
        <v>880</v>
      </c>
    </row>
    <row r="65" spans="1:14">
      <c r="A65" t="s">
        <v>851</v>
      </c>
      <c r="B65" t="s">
        <v>526</v>
      </c>
      <c r="C65" t="s">
        <v>527</v>
      </c>
      <c r="D65">
        <v>200</v>
      </c>
      <c r="E65" t="s">
        <v>72</v>
      </c>
      <c r="F65">
        <v>0</v>
      </c>
      <c r="G65" t="s">
        <v>768</v>
      </c>
      <c r="H65" t="s">
        <v>790</v>
      </c>
      <c r="I65" t="s">
        <v>770</v>
      </c>
      <c r="J65" t="s">
        <v>771</v>
      </c>
      <c r="K65" t="s">
        <v>772</v>
      </c>
      <c r="L65" t="s">
        <v>879</v>
      </c>
      <c r="M65" s="12">
        <v>46255</v>
      </c>
      <c r="N65" t="s">
        <v>880</v>
      </c>
    </row>
    <row r="66" spans="1:14">
      <c r="A66" t="s">
        <v>852</v>
      </c>
      <c r="B66" t="s">
        <v>531</v>
      </c>
      <c r="C66" t="s">
        <v>532</v>
      </c>
      <c r="D66">
        <v>200</v>
      </c>
      <c r="E66" t="s">
        <v>72</v>
      </c>
      <c r="F66">
        <v>0</v>
      </c>
      <c r="G66" t="s">
        <v>768</v>
      </c>
      <c r="H66" t="s">
        <v>790</v>
      </c>
      <c r="I66" t="s">
        <v>770</v>
      </c>
      <c r="J66" t="s">
        <v>771</v>
      </c>
      <c r="K66" t="s">
        <v>772</v>
      </c>
      <c r="L66" t="s">
        <v>879</v>
      </c>
      <c r="M66" s="12">
        <v>46255</v>
      </c>
      <c r="N66" t="s">
        <v>880</v>
      </c>
    </row>
    <row r="67" spans="1:14">
      <c r="A67" t="s">
        <v>853</v>
      </c>
      <c r="B67" t="s">
        <v>537</v>
      </c>
      <c r="C67" t="s">
        <v>538</v>
      </c>
      <c r="D67">
        <v>200</v>
      </c>
      <c r="E67" t="s">
        <v>72</v>
      </c>
      <c r="F67">
        <v>0</v>
      </c>
      <c r="G67" t="s">
        <v>768</v>
      </c>
      <c r="H67" t="s">
        <v>790</v>
      </c>
      <c r="I67" t="s">
        <v>770</v>
      </c>
      <c r="J67" t="s">
        <v>771</v>
      </c>
      <c r="K67" t="s">
        <v>772</v>
      </c>
      <c r="L67" t="s">
        <v>879</v>
      </c>
      <c r="M67" s="12">
        <v>46255</v>
      </c>
      <c r="N67" t="s">
        <v>880</v>
      </c>
    </row>
    <row r="68" spans="1:14">
      <c r="A68" t="s">
        <v>854</v>
      </c>
      <c r="B68" t="s">
        <v>548</v>
      </c>
      <c r="C68" t="s">
        <v>549</v>
      </c>
      <c r="D68">
        <v>200</v>
      </c>
      <c r="E68" t="s">
        <v>72</v>
      </c>
      <c r="F68">
        <v>0</v>
      </c>
      <c r="G68" t="s">
        <v>768</v>
      </c>
      <c r="H68" t="s">
        <v>790</v>
      </c>
      <c r="I68" t="s">
        <v>770</v>
      </c>
      <c r="J68" t="s">
        <v>771</v>
      </c>
      <c r="K68" t="s">
        <v>772</v>
      </c>
      <c r="L68" t="s">
        <v>879</v>
      </c>
      <c r="M68" s="12">
        <v>46255</v>
      </c>
      <c r="N68" t="s">
        <v>880</v>
      </c>
    </row>
    <row r="69" spans="1:14">
      <c r="A69" t="s">
        <v>855</v>
      </c>
      <c r="B69" t="s">
        <v>555</v>
      </c>
      <c r="C69" t="s">
        <v>556</v>
      </c>
      <c r="D69">
        <v>200</v>
      </c>
      <c r="E69" t="s">
        <v>72</v>
      </c>
      <c r="F69">
        <v>0</v>
      </c>
      <c r="G69" t="s">
        <v>768</v>
      </c>
      <c r="H69" t="s">
        <v>790</v>
      </c>
      <c r="I69" t="s">
        <v>770</v>
      </c>
      <c r="J69" t="s">
        <v>771</v>
      </c>
      <c r="K69" t="s">
        <v>772</v>
      </c>
      <c r="L69" t="s">
        <v>879</v>
      </c>
      <c r="M69" s="12">
        <v>46255</v>
      </c>
      <c r="N69" t="s">
        <v>880</v>
      </c>
    </row>
    <row r="70" spans="1:14">
      <c r="A70" t="s">
        <v>856</v>
      </c>
      <c r="B70" t="s">
        <v>561</v>
      </c>
      <c r="C70" t="s">
        <v>562</v>
      </c>
      <c r="D70">
        <v>200</v>
      </c>
      <c r="E70" t="s">
        <v>72</v>
      </c>
      <c r="F70">
        <v>0</v>
      </c>
      <c r="G70" t="s">
        <v>768</v>
      </c>
      <c r="H70" t="s">
        <v>790</v>
      </c>
      <c r="I70" t="s">
        <v>770</v>
      </c>
      <c r="J70" t="s">
        <v>771</v>
      </c>
      <c r="K70" t="s">
        <v>772</v>
      </c>
      <c r="L70" t="s">
        <v>879</v>
      </c>
      <c r="M70" s="12">
        <v>46255</v>
      </c>
      <c r="N70" t="s">
        <v>880</v>
      </c>
    </row>
    <row r="71" spans="1:14">
      <c r="A71" t="s">
        <v>857</v>
      </c>
      <c r="B71" t="s">
        <v>567</v>
      </c>
      <c r="C71" t="s">
        <v>568</v>
      </c>
      <c r="D71">
        <v>200</v>
      </c>
      <c r="E71" t="s">
        <v>72</v>
      </c>
      <c r="F71">
        <v>0</v>
      </c>
      <c r="G71" t="s">
        <v>768</v>
      </c>
      <c r="H71" t="s">
        <v>790</v>
      </c>
      <c r="I71" t="s">
        <v>770</v>
      </c>
      <c r="J71" t="s">
        <v>771</v>
      </c>
      <c r="K71" t="s">
        <v>772</v>
      </c>
      <c r="L71" t="s">
        <v>879</v>
      </c>
      <c r="M71" s="12">
        <v>46255</v>
      </c>
      <c r="N71" t="s">
        <v>880</v>
      </c>
    </row>
    <row r="72" spans="1:14">
      <c r="A72" t="s">
        <v>858</v>
      </c>
      <c r="B72" t="s">
        <v>573</v>
      </c>
      <c r="C72" t="s">
        <v>574</v>
      </c>
      <c r="D72">
        <v>200</v>
      </c>
      <c r="E72" t="s">
        <v>72</v>
      </c>
      <c r="F72">
        <v>0</v>
      </c>
      <c r="G72" t="s">
        <v>768</v>
      </c>
      <c r="H72" t="s">
        <v>790</v>
      </c>
      <c r="I72" t="s">
        <v>770</v>
      </c>
      <c r="J72" t="s">
        <v>771</v>
      </c>
      <c r="K72" t="s">
        <v>772</v>
      </c>
      <c r="L72" t="s">
        <v>879</v>
      </c>
      <c r="M72" s="12">
        <v>46255</v>
      </c>
      <c r="N72" t="s">
        <v>880</v>
      </c>
    </row>
    <row r="73" spans="1:14">
      <c r="A73" t="s">
        <v>859</v>
      </c>
      <c r="B73" t="s">
        <v>579</v>
      </c>
      <c r="C73" t="s">
        <v>580</v>
      </c>
      <c r="D73">
        <v>200</v>
      </c>
      <c r="E73" t="s">
        <v>72</v>
      </c>
      <c r="F73">
        <v>0</v>
      </c>
      <c r="G73" t="s">
        <v>768</v>
      </c>
      <c r="H73" t="s">
        <v>790</v>
      </c>
      <c r="I73" t="s">
        <v>770</v>
      </c>
      <c r="J73" t="s">
        <v>771</v>
      </c>
      <c r="K73" t="s">
        <v>772</v>
      </c>
      <c r="L73" t="s">
        <v>879</v>
      </c>
      <c r="M73" s="12">
        <v>46255</v>
      </c>
      <c r="N73" t="s">
        <v>880</v>
      </c>
    </row>
    <row r="74" spans="1:14">
      <c r="A74" t="s">
        <v>860</v>
      </c>
      <c r="B74" t="s">
        <v>586</v>
      </c>
      <c r="C74" t="s">
        <v>587</v>
      </c>
      <c r="D74">
        <v>200</v>
      </c>
      <c r="E74" t="s">
        <v>72</v>
      </c>
      <c r="F74">
        <v>0</v>
      </c>
      <c r="G74" t="s">
        <v>768</v>
      </c>
      <c r="H74" t="s">
        <v>790</v>
      </c>
      <c r="I74" t="s">
        <v>770</v>
      </c>
      <c r="J74" t="s">
        <v>771</v>
      </c>
      <c r="K74" t="s">
        <v>772</v>
      </c>
      <c r="L74" t="s">
        <v>879</v>
      </c>
      <c r="M74" s="12">
        <v>46255</v>
      </c>
      <c r="N74" t="s">
        <v>880</v>
      </c>
    </row>
    <row r="75" spans="1:14">
      <c r="A75" t="s">
        <v>861</v>
      </c>
      <c r="B75" t="s">
        <v>593</v>
      </c>
      <c r="C75" t="s">
        <v>594</v>
      </c>
      <c r="D75">
        <v>200</v>
      </c>
      <c r="E75" t="s">
        <v>72</v>
      </c>
      <c r="F75">
        <v>0</v>
      </c>
      <c r="G75" t="s">
        <v>768</v>
      </c>
      <c r="H75" t="s">
        <v>790</v>
      </c>
      <c r="I75" t="s">
        <v>770</v>
      </c>
      <c r="J75" t="s">
        <v>771</v>
      </c>
      <c r="K75" t="s">
        <v>772</v>
      </c>
      <c r="L75" t="s">
        <v>879</v>
      </c>
      <c r="M75" s="12">
        <v>46255</v>
      </c>
      <c r="N75" t="s">
        <v>880</v>
      </c>
    </row>
    <row r="76" spans="1:14">
      <c r="A76" t="s">
        <v>862</v>
      </c>
      <c r="B76" t="s">
        <v>598</v>
      </c>
      <c r="C76" t="s">
        <v>599</v>
      </c>
      <c r="D76">
        <v>200</v>
      </c>
      <c r="E76" t="s">
        <v>72</v>
      </c>
      <c r="F76">
        <v>0</v>
      </c>
      <c r="G76" t="s">
        <v>768</v>
      </c>
      <c r="H76" t="s">
        <v>790</v>
      </c>
      <c r="I76" t="s">
        <v>770</v>
      </c>
      <c r="J76" t="s">
        <v>771</v>
      </c>
      <c r="K76" t="s">
        <v>772</v>
      </c>
      <c r="L76" t="s">
        <v>879</v>
      </c>
      <c r="M76" s="12">
        <v>46255</v>
      </c>
      <c r="N76" t="s">
        <v>880</v>
      </c>
    </row>
    <row r="77" spans="1:14">
      <c r="A77" t="s">
        <v>863</v>
      </c>
      <c r="B77" t="s">
        <v>605</v>
      </c>
      <c r="C77" t="s">
        <v>606</v>
      </c>
      <c r="D77">
        <v>200</v>
      </c>
      <c r="E77" t="s">
        <v>72</v>
      </c>
      <c r="F77">
        <v>0</v>
      </c>
      <c r="G77" t="s">
        <v>768</v>
      </c>
      <c r="H77" t="s">
        <v>790</v>
      </c>
      <c r="I77" t="s">
        <v>770</v>
      </c>
      <c r="J77" t="s">
        <v>771</v>
      </c>
      <c r="K77" t="s">
        <v>772</v>
      </c>
      <c r="L77" t="s">
        <v>879</v>
      </c>
      <c r="M77" s="12">
        <v>46255</v>
      </c>
      <c r="N77" t="s">
        <v>880</v>
      </c>
    </row>
    <row r="78" spans="1:14">
      <c r="A78" t="s">
        <v>864</v>
      </c>
      <c r="B78" t="s">
        <v>611</v>
      </c>
      <c r="C78" t="s">
        <v>612</v>
      </c>
      <c r="D78">
        <v>200</v>
      </c>
      <c r="E78" t="s">
        <v>72</v>
      </c>
      <c r="F78">
        <v>0</v>
      </c>
      <c r="G78" t="s">
        <v>768</v>
      </c>
      <c r="H78" t="s">
        <v>790</v>
      </c>
      <c r="I78" t="s">
        <v>770</v>
      </c>
      <c r="J78" t="s">
        <v>771</v>
      </c>
      <c r="K78" t="s">
        <v>772</v>
      </c>
      <c r="L78" t="s">
        <v>879</v>
      </c>
      <c r="M78" s="12">
        <v>46255</v>
      </c>
      <c r="N78" t="s">
        <v>880</v>
      </c>
    </row>
    <row r="79" spans="1:14">
      <c r="A79" t="s">
        <v>865</v>
      </c>
      <c r="B79" t="s">
        <v>617</v>
      </c>
      <c r="C79" t="s">
        <v>618</v>
      </c>
      <c r="D79">
        <v>200</v>
      </c>
      <c r="E79" t="s">
        <v>72</v>
      </c>
      <c r="F79">
        <v>0</v>
      </c>
      <c r="G79" t="s">
        <v>768</v>
      </c>
      <c r="H79" t="s">
        <v>790</v>
      </c>
      <c r="I79" t="s">
        <v>770</v>
      </c>
      <c r="J79" t="s">
        <v>771</v>
      </c>
      <c r="K79" t="s">
        <v>772</v>
      </c>
      <c r="L79" t="s">
        <v>879</v>
      </c>
      <c r="M79" s="12">
        <v>46255</v>
      </c>
      <c r="N79" t="s">
        <v>880</v>
      </c>
    </row>
    <row r="80" spans="1:14">
      <c r="A80" t="s">
        <v>866</v>
      </c>
      <c r="B80" t="s">
        <v>623</v>
      </c>
      <c r="C80" t="s">
        <v>624</v>
      </c>
      <c r="D80">
        <v>200</v>
      </c>
      <c r="E80" t="s">
        <v>72</v>
      </c>
      <c r="F80">
        <v>0</v>
      </c>
      <c r="G80" t="s">
        <v>768</v>
      </c>
      <c r="H80" t="s">
        <v>790</v>
      </c>
      <c r="I80" t="s">
        <v>770</v>
      </c>
      <c r="J80" t="s">
        <v>771</v>
      </c>
      <c r="K80" t="s">
        <v>772</v>
      </c>
      <c r="L80" t="s">
        <v>879</v>
      </c>
      <c r="M80" s="12">
        <v>46255</v>
      </c>
      <c r="N80" t="s">
        <v>880</v>
      </c>
    </row>
    <row r="81" spans="1:14">
      <c r="A81" t="s">
        <v>867</v>
      </c>
      <c r="B81" t="s">
        <v>629</v>
      </c>
      <c r="C81" t="s">
        <v>630</v>
      </c>
      <c r="D81">
        <v>200</v>
      </c>
      <c r="E81" t="s">
        <v>72</v>
      </c>
      <c r="F81">
        <v>0</v>
      </c>
      <c r="G81" t="s">
        <v>768</v>
      </c>
      <c r="H81" t="s">
        <v>790</v>
      </c>
      <c r="I81" t="s">
        <v>770</v>
      </c>
      <c r="J81" t="s">
        <v>771</v>
      </c>
      <c r="K81" t="s">
        <v>772</v>
      </c>
      <c r="L81" t="s">
        <v>879</v>
      </c>
      <c r="M81" s="12">
        <v>46255</v>
      </c>
      <c r="N81" t="s">
        <v>880</v>
      </c>
    </row>
    <row r="82" spans="1:14">
      <c r="A82" t="s">
        <v>868</v>
      </c>
      <c r="B82" t="s">
        <v>635</v>
      </c>
      <c r="C82" t="s">
        <v>208</v>
      </c>
      <c r="D82">
        <v>200</v>
      </c>
      <c r="E82" t="s">
        <v>72</v>
      </c>
      <c r="F82">
        <v>0</v>
      </c>
      <c r="G82" t="s">
        <v>797</v>
      </c>
      <c r="H82" t="s">
        <v>798</v>
      </c>
      <c r="I82" t="s">
        <v>798</v>
      </c>
      <c r="J82" t="s">
        <v>771</v>
      </c>
      <c r="K82" t="s">
        <v>772</v>
      </c>
      <c r="L82" t="s">
        <v>879</v>
      </c>
      <c r="M82" s="12">
        <v>46255</v>
      </c>
      <c r="N82" t="s">
        <v>880</v>
      </c>
    </row>
    <row r="83" spans="1:14">
      <c r="A83" t="s">
        <v>869</v>
      </c>
      <c r="B83" t="s">
        <v>641</v>
      </c>
      <c r="C83" t="s">
        <v>642</v>
      </c>
      <c r="D83">
        <v>200</v>
      </c>
      <c r="E83" t="s">
        <v>72</v>
      </c>
      <c r="F83">
        <v>0</v>
      </c>
      <c r="G83" t="s">
        <v>768</v>
      </c>
      <c r="H83" t="s">
        <v>790</v>
      </c>
      <c r="I83" t="s">
        <v>770</v>
      </c>
      <c r="J83" t="s">
        <v>771</v>
      </c>
      <c r="K83" t="s">
        <v>772</v>
      </c>
      <c r="L83" t="s">
        <v>879</v>
      </c>
      <c r="M83" s="12">
        <v>46255</v>
      </c>
      <c r="N83" t="s">
        <v>880</v>
      </c>
    </row>
    <row r="84" spans="1:14">
      <c r="A84" t="s">
        <v>870</v>
      </c>
      <c r="B84" t="s">
        <v>647</v>
      </c>
      <c r="C84" t="s">
        <v>208</v>
      </c>
      <c r="D84">
        <v>200</v>
      </c>
      <c r="E84" t="s">
        <v>72</v>
      </c>
      <c r="F84">
        <v>0</v>
      </c>
      <c r="G84" t="s">
        <v>797</v>
      </c>
      <c r="H84" t="s">
        <v>798</v>
      </c>
      <c r="I84" t="s">
        <v>798</v>
      </c>
      <c r="J84" t="s">
        <v>771</v>
      </c>
      <c r="K84" t="s">
        <v>772</v>
      </c>
      <c r="L84" t="s">
        <v>879</v>
      </c>
      <c r="M84" s="12">
        <v>46255</v>
      </c>
      <c r="N84" t="s">
        <v>880</v>
      </c>
    </row>
    <row r="85" spans="1:14">
      <c r="A85" t="s">
        <v>871</v>
      </c>
      <c r="B85" t="s">
        <v>651</v>
      </c>
      <c r="C85" t="s">
        <v>652</v>
      </c>
      <c r="D85">
        <v>200</v>
      </c>
      <c r="E85" t="s">
        <v>72</v>
      </c>
      <c r="F85">
        <v>0</v>
      </c>
      <c r="G85" t="s">
        <v>768</v>
      </c>
      <c r="H85" t="s">
        <v>872</v>
      </c>
      <c r="I85" t="s">
        <v>770</v>
      </c>
      <c r="J85" t="s">
        <v>771</v>
      </c>
      <c r="K85" t="s">
        <v>780</v>
      </c>
      <c r="L85" t="s">
        <v>879</v>
      </c>
      <c r="M85" s="12">
        <v>46255</v>
      </c>
      <c r="N85" t="s">
        <v>880</v>
      </c>
    </row>
    <row r="86" spans="1:14">
      <c r="A86" t="s">
        <v>873</v>
      </c>
      <c r="B86" t="s">
        <v>655</v>
      </c>
      <c r="C86" t="s">
        <v>656</v>
      </c>
      <c r="D86">
        <v>200</v>
      </c>
      <c r="E86" t="s">
        <v>72</v>
      </c>
      <c r="F86">
        <v>0</v>
      </c>
      <c r="G86" t="s">
        <v>768</v>
      </c>
      <c r="H86" t="s">
        <v>872</v>
      </c>
      <c r="I86" t="s">
        <v>770</v>
      </c>
      <c r="J86" t="s">
        <v>771</v>
      </c>
      <c r="K86" t="s">
        <v>780</v>
      </c>
      <c r="L86" t="s">
        <v>879</v>
      </c>
      <c r="M86" s="12">
        <v>46255</v>
      </c>
      <c r="N86" t="s">
        <v>880</v>
      </c>
    </row>
    <row r="87" spans="1:14">
      <c r="A87" t="s">
        <v>874</v>
      </c>
      <c r="B87" t="s">
        <v>658</v>
      </c>
      <c r="C87" t="s">
        <v>659</v>
      </c>
      <c r="D87">
        <v>200</v>
      </c>
      <c r="E87" t="s">
        <v>72</v>
      </c>
      <c r="F87">
        <v>0</v>
      </c>
      <c r="G87" t="s">
        <v>768</v>
      </c>
      <c r="H87" t="s">
        <v>872</v>
      </c>
      <c r="I87" t="s">
        <v>770</v>
      </c>
      <c r="J87" t="s">
        <v>771</v>
      </c>
      <c r="K87" t="s">
        <v>780</v>
      </c>
      <c r="L87" t="s">
        <v>879</v>
      </c>
      <c r="M87" s="12">
        <v>46255</v>
      </c>
      <c r="N87" t="s">
        <v>880</v>
      </c>
    </row>
    <row r="88" spans="1:14">
      <c r="A88" t="s">
        <v>875</v>
      </c>
      <c r="B88" t="s">
        <v>664</v>
      </c>
      <c r="C88" t="s">
        <v>665</v>
      </c>
      <c r="D88">
        <v>200</v>
      </c>
      <c r="E88" t="s">
        <v>87</v>
      </c>
      <c r="F88" t="s">
        <v>427</v>
      </c>
      <c r="G88" t="s">
        <v>768</v>
      </c>
      <c r="H88" t="s">
        <v>829</v>
      </c>
      <c r="I88" t="s">
        <v>830</v>
      </c>
      <c r="J88" t="s">
        <v>771</v>
      </c>
      <c r="K88" t="s">
        <v>831</v>
      </c>
      <c r="L88" t="s">
        <v>879</v>
      </c>
      <c r="M88" s="12">
        <v>46255</v>
      </c>
      <c r="N88" t="s">
        <v>880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C3BD5-5582-44F0-976A-4B9DFF390E3C}">
  <dimension ref="A1:L175"/>
  <sheetViews>
    <sheetView workbookViewId="0">
      <selection sqref="A1:I175"/>
    </sheetView>
  </sheetViews>
  <sheetFormatPr defaultRowHeight="14.4"/>
  <cols>
    <col min="1" max="1" width="7.21875" bestFit="1" customWidth="1"/>
    <col min="2" max="2" width="8.109375" bestFit="1" customWidth="1"/>
    <col min="3" max="3" width="32.21875" customWidth="1"/>
    <col min="4" max="4" width="7.33203125" bestFit="1" customWidth="1"/>
    <col min="5" max="5" width="16.77734375" bestFit="1" customWidth="1"/>
    <col min="6" max="6" width="18.88671875" bestFit="1" customWidth="1"/>
    <col min="7" max="7" width="15.33203125" bestFit="1" customWidth="1"/>
    <col min="8" max="8" width="11.77734375" bestFit="1" customWidth="1"/>
    <col min="9" max="9" width="14" bestFit="1" customWidth="1"/>
  </cols>
  <sheetData>
    <row r="1" spans="1:12">
      <c r="A1" s="10" t="s">
        <v>881</v>
      </c>
      <c r="B1" s="10" t="s">
        <v>734</v>
      </c>
      <c r="C1" s="10" t="s">
        <v>709</v>
      </c>
      <c r="D1" s="10" t="s">
        <v>882</v>
      </c>
      <c r="E1" s="10" t="s">
        <v>739</v>
      </c>
      <c r="F1" s="10" t="s">
        <v>740</v>
      </c>
      <c r="G1" s="10" t="s">
        <v>742</v>
      </c>
      <c r="H1" s="10" t="s">
        <v>876</v>
      </c>
      <c r="I1" s="10" t="s">
        <v>878</v>
      </c>
      <c r="K1" s="10" t="s">
        <v>885</v>
      </c>
    </row>
    <row r="2" spans="1:12">
      <c r="A2" t="str" cm="1">
        <f t="array" ref="A2:A175">"T"&amp;TEXT(_xlfn.SEQUENCE(ROWS(tblBaselineInventory[URL])*2),"000")</f>
        <v>T001</v>
      </c>
      <c r="B2" t="str" cm="1">
        <f t="array" ref="B2:B175">INDEX(tblBaselineInventory[Page_ID],ROUNDUP(_xlfn.SEQUENCE(ROWS(tblBaselineInventory[Page_ID])*2)/2,0))</f>
        <v>P001</v>
      </c>
      <c r="C2" t="str" cm="1">
        <f t="array" ref="C2:C175">INDEX(tblBaselineInventory[URL],ROUNDUP(_xlfn.SEQUENCE(ROWS(tblBaselineInventory[URL])*2)/2,0))</f>
        <v>https://pmb.widyatama.ac.id/</v>
      </c>
      <c r="D2" t="str" cm="1">
        <f t="array" ref="D2:D175">IF(MOD(_xlfn.SEQUENCE(ROWS(tblBaselineInventory[URL])*2),2)=1,"mobile","desktop")</f>
        <v>mobile</v>
      </c>
      <c r="E2" t="str" cm="1">
        <f t="array" ref="E2:E175">_xlfn.XLOOKUP(_xlfn.ANCHORARRAY(B2),tblBaselineInventory[Page_ID],tblBaselineInventory[Final_Page_Type],"Page Type tidak ditemukan")</f>
        <v>Homepage</v>
      </c>
      <c r="F2" t="str" cm="1">
        <f t="array" ref="F2:F175">_xlfn.XLOOKUP(_xlfn.ANCHORARRAY(B2),tblBaselineInventory[Page_ID],tblBaselineInventory[Speed_Test_Segment],"Segment tidak ditemukan")</f>
        <v>Core PMB Website</v>
      </c>
      <c r="G2" t="str" cm="1">
        <f t="array" ref="G2:G175">_xlfn.XLOOKUP(_xlfn.ANCHORARRAY(B2),tblBaselineInventory[Page_ID],tblBaselineInventory[Test_Priority],"Priority tidak ditemukan")</f>
        <v>P1 - Critical</v>
      </c>
      <c r="H2" t="str" cm="1">
        <f t="array" ref="H2:H175">_xlfn.XLOOKUP(_xlfn.ANCHORARRAY(B2),tblBaselineInventory[Page_ID],tblBaselineInventory[Baseline_ID],"Baseline tidak ditemukan")</f>
        <v>BL_20260821</v>
      </c>
      <c r="I2" t="str" cm="1">
        <f t="array" ref="I2:I175">_xlfn.XLOOKUP(_xlfn.ANCHORARRAY(B2),tblBaselineInventory[Page_ID],tblBaselineInventory[Analysis_Phase],"Phase tidak ditemukan")</f>
        <v>BEFORE</v>
      </c>
      <c r="K2" t="s">
        <v>883</v>
      </c>
      <c r="L2">
        <f>ROWS(_xlfn.ANCHORARRAY(A2))</f>
        <v>174</v>
      </c>
    </row>
    <row r="3" spans="1:12">
      <c r="A3" t="str">
        <v>T002</v>
      </c>
      <c r="B3" t="str">
        <v>P001</v>
      </c>
      <c r="C3" t="str">
        <v>https://pmb.widyatama.ac.id/</v>
      </c>
      <c r="D3" t="str">
        <v>desktop</v>
      </c>
      <c r="E3" t="str">
        <v>Homepage</v>
      </c>
      <c r="F3" t="str">
        <v>Core PMB Website</v>
      </c>
      <c r="G3" t="str">
        <v>P1 - Critical</v>
      </c>
      <c r="H3" t="str">
        <v>BL_20260821</v>
      </c>
      <c r="I3" t="str">
        <v>BEFORE</v>
      </c>
      <c r="K3" t="s">
        <v>884</v>
      </c>
      <c r="L3">
        <f>ROWS(_xlfn.UNIQUE(_xlfn.ANCHORARRAY(A2)))</f>
        <v>174</v>
      </c>
    </row>
    <row r="4" spans="1:12">
      <c r="A4" t="str">
        <v>T003</v>
      </c>
      <c r="B4" t="str">
        <v>P002</v>
      </c>
      <c r="C4" t="str">
        <v>https://pmb.widyatama.ac.id/petunjuk-pendaftaran/</v>
      </c>
      <c r="D4" t="str">
        <v>mobile</v>
      </c>
      <c r="E4" t="str">
        <v>Admission</v>
      </c>
      <c r="F4" t="str">
        <v>Core PMB Website</v>
      </c>
      <c r="G4" t="str">
        <v>P1 - Critical</v>
      </c>
      <c r="H4" t="str">
        <v>BL_20260821</v>
      </c>
      <c r="I4" t="str">
        <v>BEFORE</v>
      </c>
      <c r="K4" t="s">
        <v>886</v>
      </c>
      <c r="L4" cm="1">
        <f t="array" ref="L4">ROWS(_xlfn.UNIQUE(_xlfn.ANCHORARRAY(B2)&amp;"|"&amp;_xlfn.ANCHORARRAY(D2)))</f>
        <v>174</v>
      </c>
    </row>
    <row r="5" spans="1:12">
      <c r="A5" t="str">
        <v>T004</v>
      </c>
      <c r="B5" t="str">
        <v>P002</v>
      </c>
      <c r="C5" t="str">
        <v>https://pmb.widyatama.ac.id/petunjuk-pendaftaran/</v>
      </c>
      <c r="D5" t="str">
        <v>desktop</v>
      </c>
      <c r="E5" t="str">
        <v>Admission</v>
      </c>
      <c r="F5" t="str">
        <v>Core PMB Website</v>
      </c>
      <c r="G5" t="str">
        <v>P1 - Critical</v>
      </c>
      <c r="H5" t="str">
        <v>BL_20260821</v>
      </c>
      <c r="I5" t="str">
        <v>BEFORE</v>
      </c>
      <c r="K5" t="s">
        <v>887</v>
      </c>
      <c r="L5" cm="1">
        <f t="array" ref="L5">ROWS(_xlfn.ANCHORARRAY(B2))-ROWS(_xlfn.UNIQUE(_xlfn.ANCHORARRAY(B2)&amp;"|"&amp;_xlfn.ANCHORARRAY(D2)))</f>
        <v>0</v>
      </c>
    </row>
    <row r="6" spans="1:12">
      <c r="A6" t="str">
        <v>T005</v>
      </c>
      <c r="B6" t="str">
        <v>P003</v>
      </c>
      <c r="C6" t="str">
        <v>https://pmb.widyatama.ac.id/jenjang-pendidikan/</v>
      </c>
      <c r="D6" t="str">
        <v>mobile</v>
      </c>
      <c r="E6" t="str">
        <v>Information</v>
      </c>
      <c r="F6" t="str">
        <v>Core PMB Website</v>
      </c>
      <c r="G6" t="str">
        <v>P2 - High</v>
      </c>
      <c r="H6" t="str">
        <v>BL_20260821</v>
      </c>
      <c r="I6" t="str">
        <v>BEFORE</v>
      </c>
      <c r="K6" t="s">
        <v>888</v>
      </c>
      <c r="L6">
        <f>ROWS(_xlfn.UNIQUE(_xlfn.ANCHORARRAY(B2)))</f>
        <v>87</v>
      </c>
    </row>
    <row r="7" spans="1:12">
      <c r="A7" t="str">
        <v>T006</v>
      </c>
      <c r="B7" t="str">
        <v>P003</v>
      </c>
      <c r="C7" t="str">
        <v>https://pmb.widyatama.ac.id/jenjang-pendidikan/</v>
      </c>
      <c r="D7" t="str">
        <v>desktop</v>
      </c>
      <c r="E7" t="str">
        <v>Information</v>
      </c>
      <c r="F7" t="str">
        <v>Core PMB Website</v>
      </c>
      <c r="G7" t="str">
        <v>P2 - High</v>
      </c>
      <c r="H7" t="str">
        <v>BL_20260821</v>
      </c>
      <c r="I7" t="str">
        <v>BEFORE</v>
      </c>
      <c r="K7" t="s">
        <v>889</v>
      </c>
      <c r="L7">
        <f>COUNTIF(_xlfn.ANCHORARRAY(D2),"mobile")</f>
        <v>87</v>
      </c>
    </row>
    <row r="8" spans="1:12">
      <c r="A8" t="str">
        <v>T007</v>
      </c>
      <c r="B8" t="str">
        <v>P004</v>
      </c>
      <c r="C8" t="str">
        <v>https://pmb.widyatama.ac.id/privacy-policy/</v>
      </c>
      <c r="D8" t="str">
        <v>mobile</v>
      </c>
      <c r="E8" t="str">
        <v>Policy</v>
      </c>
      <c r="F8" t="str">
        <v>Core PMB Website</v>
      </c>
      <c r="G8" t="str">
        <v>P3 - Standard</v>
      </c>
      <c r="H8" t="str">
        <v>BL_20260821</v>
      </c>
      <c r="I8" t="str">
        <v>BEFORE</v>
      </c>
      <c r="K8" t="s">
        <v>890</v>
      </c>
      <c r="L8">
        <f>COUNTIF(_xlfn.ANCHORARRAY(D2),"desktop")</f>
        <v>87</v>
      </c>
    </row>
    <row r="9" spans="1:12">
      <c r="A9" t="str">
        <v>T008</v>
      </c>
      <c r="B9" t="str">
        <v>P004</v>
      </c>
      <c r="C9" t="str">
        <v>https://pmb.widyatama.ac.id/privacy-policy/</v>
      </c>
      <c r="D9" t="str">
        <v>desktop</v>
      </c>
      <c r="E9" t="str">
        <v>Policy</v>
      </c>
      <c r="F9" t="str">
        <v>Core PMB Website</v>
      </c>
      <c r="G9" t="str">
        <v>P3 - Standard</v>
      </c>
      <c r="H9" t="str">
        <v>BL_20260821</v>
      </c>
      <c r="I9" t="str">
        <v>BEFORE</v>
      </c>
      <c r="K9" t="s">
        <v>891</v>
      </c>
      <c r="L9" cm="1">
        <f t="array" ref="L9">SUM(--(COUNTIF(_xlfn.ANCHORARRAY(B2),_xlfn.UNIQUE(_xlfn.ANCHORARRAY(B2)))&lt;&gt;2))</f>
        <v>0</v>
      </c>
    </row>
    <row r="10" spans="1:12">
      <c r="A10" t="str">
        <v>T009</v>
      </c>
      <c r="B10" t="str">
        <v>P005</v>
      </c>
      <c r="C10" t="str">
        <v>https://pmb.widyatama.ac.id/cookie-policy/</v>
      </c>
      <c r="D10" t="str">
        <v>mobile</v>
      </c>
      <c r="E10" t="str">
        <v>Policy</v>
      </c>
      <c r="F10" t="str">
        <v>Core PMB Website</v>
      </c>
      <c r="G10" t="str">
        <v>P3 - Standard</v>
      </c>
      <c r="H10" t="str">
        <v>BL_20260821</v>
      </c>
      <c r="I10" t="str">
        <v>BEFORE</v>
      </c>
    </row>
    <row r="11" spans="1:12">
      <c r="A11" t="str">
        <v>T010</v>
      </c>
      <c r="B11" t="str">
        <v>P005</v>
      </c>
      <c r="C11" t="str">
        <v>https://pmb.widyatama.ac.id/cookie-policy/</v>
      </c>
      <c r="D11" t="str">
        <v>desktop</v>
      </c>
      <c r="E11" t="str">
        <v>Policy</v>
      </c>
      <c r="F11" t="str">
        <v>Core PMB Website</v>
      </c>
      <c r="G11" t="str">
        <v>P3 - Standard</v>
      </c>
      <c r="H11" t="str">
        <v>BL_20260821</v>
      </c>
      <c r="I11" t="str">
        <v>BEFORE</v>
      </c>
    </row>
    <row r="12" spans="1:12">
      <c r="A12" t="str">
        <v>T011</v>
      </c>
      <c r="B12" t="str">
        <v>P006</v>
      </c>
      <c r="C12" t="str">
        <v>https://pmb.widyatama.ac.id/biaya-kuliah-pascasarjana/</v>
      </c>
      <c r="D12" t="str">
        <v>mobile</v>
      </c>
      <c r="E12" t="str">
        <v>Pricing</v>
      </c>
      <c r="F12" t="str">
        <v>Core PMB Website</v>
      </c>
      <c r="G12" t="str">
        <v>P1 - Critical</v>
      </c>
      <c r="H12" t="str">
        <v>BL_20260821</v>
      </c>
      <c r="I12" t="str">
        <v>BEFORE</v>
      </c>
    </row>
    <row r="13" spans="1:12">
      <c r="A13" t="str">
        <v>T012</v>
      </c>
      <c r="B13" t="str">
        <v>P006</v>
      </c>
      <c r="C13" t="str">
        <v>https://pmb.widyatama.ac.id/biaya-kuliah-pascasarjana/</v>
      </c>
      <c r="D13" t="str">
        <v>desktop</v>
      </c>
      <c r="E13" t="str">
        <v>Pricing</v>
      </c>
      <c r="F13" t="str">
        <v>Core PMB Website</v>
      </c>
      <c r="G13" t="str">
        <v>P1 - Critical</v>
      </c>
      <c r="H13" t="str">
        <v>BL_20260821</v>
      </c>
      <c r="I13" t="str">
        <v>BEFORE</v>
      </c>
    </row>
    <row r="14" spans="1:12">
      <c r="A14" t="str">
        <v>T013</v>
      </c>
      <c r="B14" t="str">
        <v>P007</v>
      </c>
      <c r="C14" t="str">
        <v>https://pmb.widyatama.ac.id/mahasiswa-internasional/</v>
      </c>
      <c r="D14" t="str">
        <v>mobile</v>
      </c>
      <c r="E14" t="str">
        <v>International</v>
      </c>
      <c r="F14" t="str">
        <v>Core PMB Website</v>
      </c>
      <c r="G14" t="str">
        <v>P2 - High</v>
      </c>
      <c r="H14" t="str">
        <v>BL_20260821</v>
      </c>
      <c r="I14" t="str">
        <v>BEFORE</v>
      </c>
    </row>
    <row r="15" spans="1:12">
      <c r="A15" t="str">
        <v>T014</v>
      </c>
      <c r="B15" t="str">
        <v>P007</v>
      </c>
      <c r="C15" t="str">
        <v>https://pmb.widyatama.ac.id/mahasiswa-internasional/</v>
      </c>
      <c r="D15" t="str">
        <v>desktop</v>
      </c>
      <c r="E15" t="str">
        <v>International</v>
      </c>
      <c r="F15" t="str">
        <v>Core PMB Website</v>
      </c>
      <c r="G15" t="str">
        <v>P2 - High</v>
      </c>
      <c r="H15" t="str">
        <v>BL_20260821</v>
      </c>
      <c r="I15" t="str">
        <v>BEFORE</v>
      </c>
    </row>
    <row r="16" spans="1:12">
      <c r="A16" t="str">
        <v>T015</v>
      </c>
      <c r="B16" t="str">
        <v>P008</v>
      </c>
      <c r="C16" t="str">
        <v>https://pmb.widyatama.ac.id/output-lulusan/</v>
      </c>
      <c r="D16" t="str">
        <v>mobile</v>
      </c>
      <c r="E16" t="str">
        <v>Information</v>
      </c>
      <c r="F16" t="str">
        <v>Core PMB Website</v>
      </c>
      <c r="G16" t="str">
        <v>P2 - High</v>
      </c>
      <c r="H16" t="str">
        <v>BL_20260821</v>
      </c>
      <c r="I16" t="str">
        <v>BEFORE</v>
      </c>
    </row>
    <row r="17" spans="1:9">
      <c r="A17" t="str">
        <v>T016</v>
      </c>
      <c r="B17" t="str">
        <v>P008</v>
      </c>
      <c r="C17" t="str">
        <v>https://pmb.widyatama.ac.id/output-lulusan/</v>
      </c>
      <c r="D17" t="str">
        <v>desktop</v>
      </c>
      <c r="E17" t="str">
        <v>Information</v>
      </c>
      <c r="F17" t="str">
        <v>Core PMB Website</v>
      </c>
      <c r="G17" t="str">
        <v>P2 - High</v>
      </c>
      <c r="H17" t="str">
        <v>BL_20260821</v>
      </c>
      <c r="I17" t="str">
        <v>BEFORE</v>
      </c>
    </row>
    <row r="18" spans="1:9">
      <c r="A18" t="str">
        <v>T017</v>
      </c>
      <c r="B18" t="str">
        <v>P009</v>
      </c>
      <c r="C18" t="str">
        <v>https://pmb.widyatama.ac.id/beasiswa-mahasiswa-aktif/</v>
      </c>
      <c r="D18" t="str">
        <v>mobile</v>
      </c>
      <c r="E18" t="str">
        <v>Campaign</v>
      </c>
      <c r="F18" t="str">
        <v>Core PMB Website</v>
      </c>
      <c r="G18" t="str">
        <v>P2 - High</v>
      </c>
      <c r="H18" t="str">
        <v>BL_20260821</v>
      </c>
      <c r="I18" t="str">
        <v>BEFORE</v>
      </c>
    </row>
    <row r="19" spans="1:9">
      <c r="A19" t="str">
        <v>T018</v>
      </c>
      <c r="B19" t="str">
        <v>P009</v>
      </c>
      <c r="C19" t="str">
        <v>https://pmb.widyatama.ac.id/beasiswa-mahasiswa-aktif/</v>
      </c>
      <c r="D19" t="str">
        <v>desktop</v>
      </c>
      <c r="E19" t="str">
        <v>Campaign</v>
      </c>
      <c r="F19" t="str">
        <v>Core PMB Website</v>
      </c>
      <c r="G19" t="str">
        <v>P2 - High</v>
      </c>
      <c r="H19" t="str">
        <v>BL_20260821</v>
      </c>
      <c r="I19" t="str">
        <v>BEFORE</v>
      </c>
    </row>
    <row r="20" spans="1:9">
      <c r="A20" t="str">
        <v>T019</v>
      </c>
      <c r="B20" t="str">
        <v>P010</v>
      </c>
      <c r="C20" t="str">
        <v>https://pmb.widyatama.ac.id/program-rpl/</v>
      </c>
      <c r="D20" t="str">
        <v>mobile</v>
      </c>
      <c r="E20" t="str">
        <v>Program</v>
      </c>
      <c r="F20" t="str">
        <v>Core PMB Website</v>
      </c>
      <c r="G20" t="str">
        <v>P1 - Critical</v>
      </c>
      <c r="H20" t="str">
        <v>BL_20260821</v>
      </c>
      <c r="I20" t="str">
        <v>BEFORE</v>
      </c>
    </row>
    <row r="21" spans="1:9">
      <c r="A21" t="str">
        <v>T020</v>
      </c>
      <c r="B21" t="str">
        <v>P010</v>
      </c>
      <c r="C21" t="str">
        <v>https://pmb.widyatama.ac.id/program-rpl/</v>
      </c>
      <c r="D21" t="str">
        <v>desktop</v>
      </c>
      <c r="E21" t="str">
        <v>Program</v>
      </c>
      <c r="F21" t="str">
        <v>Core PMB Website</v>
      </c>
      <c r="G21" t="str">
        <v>P1 - Critical</v>
      </c>
      <c r="H21" t="str">
        <v>BL_20260821</v>
      </c>
      <c r="I21" t="str">
        <v>BEFORE</v>
      </c>
    </row>
    <row r="22" spans="1:9">
      <c r="A22" t="str">
        <v>T021</v>
      </c>
      <c r="B22" t="str">
        <v>P011</v>
      </c>
      <c r="C22" t="str">
        <v>https://pmb.widyatama.ac.id/biaya-kuliah-kelas-karyawan/</v>
      </c>
      <c r="D22" t="str">
        <v>mobile</v>
      </c>
      <c r="E22" t="str">
        <v>Pricing</v>
      </c>
      <c r="F22" t="str">
        <v>Core PMB Website</v>
      </c>
      <c r="G22" t="str">
        <v>P1 - Critical</v>
      </c>
      <c r="H22" t="str">
        <v>BL_20260821</v>
      </c>
      <c r="I22" t="str">
        <v>BEFORE</v>
      </c>
    </row>
    <row r="23" spans="1:9">
      <c r="A23" t="str">
        <v>T022</v>
      </c>
      <c r="B23" t="str">
        <v>P011</v>
      </c>
      <c r="C23" t="str">
        <v>https://pmb.widyatama.ac.id/biaya-kuliah-kelas-karyawan/</v>
      </c>
      <c r="D23" t="str">
        <v>desktop</v>
      </c>
      <c r="E23" t="str">
        <v>Pricing</v>
      </c>
      <c r="F23" t="str">
        <v>Core PMB Website</v>
      </c>
      <c r="G23" t="str">
        <v>P1 - Critical</v>
      </c>
      <c r="H23" t="str">
        <v>BL_20260821</v>
      </c>
      <c r="I23" t="str">
        <v>BEFORE</v>
      </c>
    </row>
    <row r="24" spans="1:9">
      <c r="A24" t="str">
        <v>T023</v>
      </c>
      <c r="B24" t="str">
        <v>P012</v>
      </c>
      <c r="C24" t="str">
        <v>https://pmb.widyatama.ac.id/jurusan/</v>
      </c>
      <c r="D24" t="str">
        <v>mobile</v>
      </c>
      <c r="E24" t="str">
        <v>Program</v>
      </c>
      <c r="F24" t="str">
        <v>Core PMB Website</v>
      </c>
      <c r="G24" t="str">
        <v>P1 - Critical</v>
      </c>
      <c r="H24" t="str">
        <v>BL_20260821</v>
      </c>
      <c r="I24" t="str">
        <v>BEFORE</v>
      </c>
    </row>
    <row r="25" spans="1:9">
      <c r="A25" t="str">
        <v>T024</v>
      </c>
      <c r="B25" t="str">
        <v>P012</v>
      </c>
      <c r="C25" t="str">
        <v>https://pmb.widyatama.ac.id/jurusan/</v>
      </c>
      <c r="D25" t="str">
        <v>desktop</v>
      </c>
      <c r="E25" t="str">
        <v>Program</v>
      </c>
      <c r="F25" t="str">
        <v>Core PMB Website</v>
      </c>
      <c r="G25" t="str">
        <v>P1 - Critical</v>
      </c>
      <c r="H25" t="str">
        <v>BL_20260821</v>
      </c>
      <c r="I25" t="str">
        <v>BEFORE</v>
      </c>
    </row>
    <row r="26" spans="1:9">
      <c r="A26" t="str">
        <v>T025</v>
      </c>
      <c r="B26" t="str">
        <v>P013</v>
      </c>
      <c r="C26" t="str">
        <v>https://pmb.widyatama.ac.id/blog/</v>
      </c>
      <c r="D26" t="str">
        <v>mobile</v>
      </c>
      <c r="E26" t="str">
        <v>Content</v>
      </c>
      <c r="F26" t="str">
        <v>Core PMB Website</v>
      </c>
      <c r="G26" t="str">
        <v>P3 - Standard</v>
      </c>
      <c r="H26" t="str">
        <v>BL_20260821</v>
      </c>
      <c r="I26" t="str">
        <v>BEFORE</v>
      </c>
    </row>
    <row r="27" spans="1:9">
      <c r="A27" t="str">
        <v>T026</v>
      </c>
      <c r="B27" t="str">
        <v>P013</v>
      </c>
      <c r="C27" t="str">
        <v>https://pmb.widyatama.ac.id/blog/</v>
      </c>
      <c r="D27" t="str">
        <v>desktop</v>
      </c>
      <c r="E27" t="str">
        <v>Content</v>
      </c>
      <c r="F27" t="str">
        <v>Core PMB Website</v>
      </c>
      <c r="G27" t="str">
        <v>P3 - Standard</v>
      </c>
      <c r="H27" t="str">
        <v>BL_20260821</v>
      </c>
      <c r="I27" t="str">
        <v>BEFORE</v>
      </c>
    </row>
    <row r="28" spans="1:9">
      <c r="A28" t="str">
        <v>T027</v>
      </c>
      <c r="B28" t="str">
        <v>P014</v>
      </c>
      <c r="C28" t="str">
        <v>https://pmb.widyatama.ac.id/biaya-kuliah-kelas-reguler/</v>
      </c>
      <c r="D28" t="str">
        <v>mobile</v>
      </c>
      <c r="E28" t="str">
        <v>Pricing</v>
      </c>
      <c r="F28" t="str">
        <v>Core PMB Website</v>
      </c>
      <c r="G28" t="str">
        <v>P1 - Critical</v>
      </c>
      <c r="H28" t="str">
        <v>BL_20260821</v>
      </c>
      <c r="I28" t="str">
        <v>BEFORE</v>
      </c>
    </row>
    <row r="29" spans="1:9">
      <c r="A29" t="str">
        <v>T028</v>
      </c>
      <c r="B29" t="str">
        <v>P014</v>
      </c>
      <c r="C29" t="str">
        <v>https://pmb.widyatama.ac.id/biaya-kuliah-kelas-reguler/</v>
      </c>
      <c r="D29" t="str">
        <v>desktop</v>
      </c>
      <c r="E29" t="str">
        <v>Pricing</v>
      </c>
      <c r="F29" t="str">
        <v>Core PMB Website</v>
      </c>
      <c r="G29" t="str">
        <v>P1 - Critical</v>
      </c>
      <c r="H29" t="str">
        <v>BL_20260821</v>
      </c>
      <c r="I29" t="str">
        <v>BEFORE</v>
      </c>
    </row>
    <row r="30" spans="1:9">
      <c r="A30" t="str">
        <v>T029</v>
      </c>
      <c r="B30" t="str">
        <v>P015</v>
      </c>
      <c r="C30" t="str">
        <v>https://online.pmb.widyatama.ac.id/</v>
      </c>
      <c r="D30" t="str">
        <v>mobile</v>
      </c>
      <c r="E30" t="str">
        <v>Registration System</v>
      </c>
      <c r="F30" t="str">
        <v>Registration System</v>
      </c>
      <c r="G30" t="str">
        <v>P1 - Critical</v>
      </c>
      <c r="H30" t="str">
        <v>BL_20260821</v>
      </c>
      <c r="I30" t="str">
        <v>BEFORE</v>
      </c>
    </row>
    <row r="31" spans="1:9">
      <c r="A31" t="str">
        <v>T030</v>
      </c>
      <c r="B31" t="str">
        <v>P015</v>
      </c>
      <c r="C31" t="str">
        <v>https://online.pmb.widyatama.ac.id/</v>
      </c>
      <c r="D31" t="str">
        <v>desktop</v>
      </c>
      <c r="E31" t="str">
        <v>Registration System</v>
      </c>
      <c r="F31" t="str">
        <v>Registration System</v>
      </c>
      <c r="G31" t="str">
        <v>P1 - Critical</v>
      </c>
      <c r="H31" t="str">
        <v>BL_20260821</v>
      </c>
      <c r="I31" t="str">
        <v>BEFORE</v>
      </c>
    </row>
    <row r="32" spans="1:9">
      <c r="A32" t="str">
        <v>T031</v>
      </c>
      <c r="B32" t="str">
        <v>P016</v>
      </c>
      <c r="C32" t="str">
        <v>https://pmb.widyatama.ac.id/aktivitas-civitas/</v>
      </c>
      <c r="D32" t="str">
        <v>mobile</v>
      </c>
      <c r="E32" t="str">
        <v>Campus Life</v>
      </c>
      <c r="F32" t="str">
        <v>Core PMB Website</v>
      </c>
      <c r="G32" t="str">
        <v>P2 - High</v>
      </c>
      <c r="H32" t="str">
        <v>BL_20260821</v>
      </c>
      <c r="I32" t="str">
        <v>BEFORE</v>
      </c>
    </row>
    <row r="33" spans="1:9">
      <c r="A33" t="str">
        <v>T032</v>
      </c>
      <c r="B33" t="str">
        <v>P016</v>
      </c>
      <c r="C33" t="str">
        <v>https://pmb.widyatama.ac.id/aktivitas-civitas/</v>
      </c>
      <c r="D33" t="str">
        <v>desktop</v>
      </c>
      <c r="E33" t="str">
        <v>Campus Life</v>
      </c>
      <c r="F33" t="str">
        <v>Core PMB Website</v>
      </c>
      <c r="G33" t="str">
        <v>P2 - High</v>
      </c>
      <c r="H33" t="str">
        <v>BL_20260821</v>
      </c>
      <c r="I33" t="str">
        <v>BEFORE</v>
      </c>
    </row>
    <row r="34" spans="1:9">
      <c r="A34" t="str">
        <v>T033</v>
      </c>
      <c r="B34" t="str">
        <v>P017</v>
      </c>
      <c r="C34" t="str">
        <v>https://pmb.widyatama.ac.id/program-pascasarjana/</v>
      </c>
      <c r="D34" t="str">
        <v>mobile</v>
      </c>
      <c r="E34" t="str">
        <v>Program</v>
      </c>
      <c r="F34" t="str">
        <v>Core PMB Website</v>
      </c>
      <c r="G34" t="str">
        <v>P1 - Critical</v>
      </c>
      <c r="H34" t="str">
        <v>BL_20260821</v>
      </c>
      <c r="I34" t="str">
        <v>BEFORE</v>
      </c>
    </row>
    <row r="35" spans="1:9">
      <c r="A35" t="str">
        <v>T034</v>
      </c>
      <c r="B35" t="str">
        <v>P017</v>
      </c>
      <c r="C35" t="str">
        <v>https://pmb.widyatama.ac.id/program-pascasarjana/</v>
      </c>
      <c r="D35" t="str">
        <v>desktop</v>
      </c>
      <c r="E35" t="str">
        <v>Program</v>
      </c>
      <c r="F35" t="str">
        <v>Core PMB Website</v>
      </c>
      <c r="G35" t="str">
        <v>P1 - Critical</v>
      </c>
      <c r="H35" t="str">
        <v>BL_20260821</v>
      </c>
      <c r="I35" t="str">
        <v>BEFORE</v>
      </c>
    </row>
    <row r="36" spans="1:9">
      <c r="A36" t="str">
        <v>T035</v>
      </c>
      <c r="B36" t="str">
        <v>P018</v>
      </c>
      <c r="C36" t="str">
        <v>https://pmb.widyatama.ac.id/cek-jalur-pendaftaran/</v>
      </c>
      <c r="D36" t="str">
        <v>mobile</v>
      </c>
      <c r="E36" t="str">
        <v>Admission</v>
      </c>
      <c r="F36" t="str">
        <v>Core PMB Website</v>
      </c>
      <c r="G36" t="str">
        <v>P1 - Critical</v>
      </c>
      <c r="H36" t="str">
        <v>BL_20260821</v>
      </c>
      <c r="I36" t="str">
        <v>BEFORE</v>
      </c>
    </row>
    <row r="37" spans="1:9">
      <c r="A37" t="str">
        <v>T036</v>
      </c>
      <c r="B37" t="str">
        <v>P018</v>
      </c>
      <c r="C37" t="str">
        <v>https://pmb.widyatama.ac.id/cek-jalur-pendaftaran/</v>
      </c>
      <c r="D37" t="str">
        <v>desktop</v>
      </c>
      <c r="E37" t="str">
        <v>Admission</v>
      </c>
      <c r="F37" t="str">
        <v>Core PMB Website</v>
      </c>
      <c r="G37" t="str">
        <v>P1 - Critical</v>
      </c>
      <c r="H37" t="str">
        <v>BL_20260821</v>
      </c>
      <c r="I37" t="str">
        <v>BEFORE</v>
      </c>
    </row>
    <row r="38" spans="1:9">
      <c r="A38" t="str">
        <v>T037</v>
      </c>
      <c r="B38" t="str">
        <v>P019</v>
      </c>
      <c r="C38" t="str">
        <v>https://pmb.widyatama.ac.id/program-reguler/</v>
      </c>
      <c r="D38" t="str">
        <v>mobile</v>
      </c>
      <c r="E38" t="str">
        <v>Program</v>
      </c>
      <c r="F38" t="str">
        <v>Core PMB Website</v>
      </c>
      <c r="G38" t="str">
        <v>P1 - Critical</v>
      </c>
      <c r="H38" t="str">
        <v>BL_20260821</v>
      </c>
      <c r="I38" t="str">
        <v>BEFORE</v>
      </c>
    </row>
    <row r="39" spans="1:9">
      <c r="A39" t="str">
        <v>T038</v>
      </c>
      <c r="B39" t="str">
        <v>P019</v>
      </c>
      <c r="C39" t="str">
        <v>https://pmb.widyatama.ac.id/program-reguler/</v>
      </c>
      <c r="D39" t="str">
        <v>desktop</v>
      </c>
      <c r="E39" t="str">
        <v>Program</v>
      </c>
      <c r="F39" t="str">
        <v>Core PMB Website</v>
      </c>
      <c r="G39" t="str">
        <v>P1 - Critical</v>
      </c>
      <c r="H39" t="str">
        <v>BL_20260821</v>
      </c>
      <c r="I39" t="str">
        <v>BEFORE</v>
      </c>
    </row>
    <row r="40" spans="1:9">
      <c r="A40" t="str">
        <v>T039</v>
      </c>
      <c r="B40" t="str">
        <v>P020</v>
      </c>
      <c r="C40" t="str">
        <v>https://pmb.widyatama.ac.id/program-kelas-karyawan/</v>
      </c>
      <c r="D40" t="str">
        <v>mobile</v>
      </c>
      <c r="E40" t="str">
        <v>Program</v>
      </c>
      <c r="F40" t="str">
        <v>Core PMB Website</v>
      </c>
      <c r="G40" t="str">
        <v>P1 - Critical</v>
      </c>
      <c r="H40" t="str">
        <v>BL_20260821</v>
      </c>
      <c r="I40" t="str">
        <v>BEFORE</v>
      </c>
    </row>
    <row r="41" spans="1:9">
      <c r="A41" t="str">
        <v>T040</v>
      </c>
      <c r="B41" t="str">
        <v>P020</v>
      </c>
      <c r="C41" t="str">
        <v>https://pmb.widyatama.ac.id/program-kelas-karyawan/</v>
      </c>
      <c r="D41" t="str">
        <v>desktop</v>
      </c>
      <c r="E41" t="str">
        <v>Program</v>
      </c>
      <c r="F41" t="str">
        <v>Core PMB Website</v>
      </c>
      <c r="G41" t="str">
        <v>P1 - Critical</v>
      </c>
      <c r="H41" t="str">
        <v>BL_20260821</v>
      </c>
      <c r="I41" t="str">
        <v>BEFORE</v>
      </c>
    </row>
    <row r="42" spans="1:9">
      <c r="A42" t="str">
        <v>T041</v>
      </c>
      <c r="B42" t="str">
        <v>P021</v>
      </c>
      <c r="C42" t="str">
        <v>https://pmb.widyatama.ac.id/fasilitas/</v>
      </c>
      <c r="D42" t="str">
        <v>mobile</v>
      </c>
      <c r="E42" t="str">
        <v>Campus Life</v>
      </c>
      <c r="F42" t="str">
        <v>Core PMB Website</v>
      </c>
      <c r="G42" t="str">
        <v>P2 - High</v>
      </c>
      <c r="H42" t="str">
        <v>BL_20260821</v>
      </c>
      <c r="I42" t="str">
        <v>BEFORE</v>
      </c>
    </row>
    <row r="43" spans="1:9">
      <c r="A43" t="str">
        <v>T042</v>
      </c>
      <c r="B43" t="str">
        <v>P021</v>
      </c>
      <c r="C43" t="str">
        <v>https://pmb.widyatama.ac.id/fasilitas/</v>
      </c>
      <c r="D43" t="str">
        <v>desktop</v>
      </c>
      <c r="E43" t="str">
        <v>Campus Life</v>
      </c>
      <c r="F43" t="str">
        <v>Core PMB Website</v>
      </c>
      <c r="G43" t="str">
        <v>P2 - High</v>
      </c>
      <c r="H43" t="str">
        <v>BL_20260821</v>
      </c>
      <c r="I43" t="str">
        <v>BEFORE</v>
      </c>
    </row>
    <row r="44" spans="1:9">
      <c r="A44" t="str">
        <v>T043</v>
      </c>
      <c r="B44" t="str">
        <v>P022</v>
      </c>
      <c r="C44" t="str">
        <v>https://pmb.widyatama.ac.id/jalur-seleksi/</v>
      </c>
      <c r="D44" t="str">
        <v>mobile</v>
      </c>
      <c r="E44" t="str">
        <v>Admission</v>
      </c>
      <c r="F44" t="str">
        <v>Core PMB Website</v>
      </c>
      <c r="G44" t="str">
        <v>P1 - Critical</v>
      </c>
      <c r="H44" t="str">
        <v>BL_20260821</v>
      </c>
      <c r="I44" t="str">
        <v>BEFORE</v>
      </c>
    </row>
    <row r="45" spans="1:9">
      <c r="A45" t="str">
        <v>T044</v>
      </c>
      <c r="B45" t="str">
        <v>P022</v>
      </c>
      <c r="C45" t="str">
        <v>https://pmb.widyatama.ac.id/jalur-seleksi/</v>
      </c>
      <c r="D45" t="str">
        <v>desktop</v>
      </c>
      <c r="E45" t="str">
        <v>Admission</v>
      </c>
      <c r="F45" t="str">
        <v>Core PMB Website</v>
      </c>
      <c r="G45" t="str">
        <v>P1 - Critical</v>
      </c>
      <c r="H45" t="str">
        <v>BL_20260821</v>
      </c>
      <c r="I45" t="str">
        <v>BEFORE</v>
      </c>
    </row>
    <row r="46" spans="1:9">
      <c r="A46" t="str">
        <v>T045</v>
      </c>
      <c r="B46" t="str">
        <v>P023</v>
      </c>
      <c r="C46" t="str">
        <v>https://pmb.widyatama.ac.id/biaya-kuliah-rpl/</v>
      </c>
      <c r="D46" t="str">
        <v>mobile</v>
      </c>
      <c r="E46" t="str">
        <v>Pricing</v>
      </c>
      <c r="F46" t="str">
        <v>Core PMB Website</v>
      </c>
      <c r="G46" t="str">
        <v>P1 - Critical</v>
      </c>
      <c r="H46" t="str">
        <v>BL_20260821</v>
      </c>
      <c r="I46" t="str">
        <v>BEFORE</v>
      </c>
    </row>
    <row r="47" spans="1:9">
      <c r="A47" t="str">
        <v>T046</v>
      </c>
      <c r="B47" t="str">
        <v>P023</v>
      </c>
      <c r="C47" t="str">
        <v>https://pmb.widyatama.ac.id/biaya-kuliah-rpl/</v>
      </c>
      <c r="D47" t="str">
        <v>desktop</v>
      </c>
      <c r="E47" t="str">
        <v>Pricing</v>
      </c>
      <c r="F47" t="str">
        <v>Core PMB Website</v>
      </c>
      <c r="G47" t="str">
        <v>P1 - Critical</v>
      </c>
      <c r="H47" t="str">
        <v>BL_20260821</v>
      </c>
      <c r="I47" t="str">
        <v>BEFORE</v>
      </c>
    </row>
    <row r="48" spans="1:9">
      <c r="A48" t="str">
        <v>T047</v>
      </c>
      <c r="B48" t="str">
        <v>P024</v>
      </c>
      <c r="C48" t="str">
        <v>https://pmb.widyatama.ac.id/apresiasi-prestasi-mahasiswa/</v>
      </c>
      <c r="D48" t="str">
        <v>mobile</v>
      </c>
      <c r="E48" t="str">
        <v>Campus Life</v>
      </c>
      <c r="F48" t="str">
        <v>Core PMB Website</v>
      </c>
      <c r="G48" t="str">
        <v>P2 - High</v>
      </c>
      <c r="H48" t="str">
        <v>BL_20260821</v>
      </c>
      <c r="I48" t="str">
        <v>BEFORE</v>
      </c>
    </row>
    <row r="49" spans="1:9">
      <c r="A49" t="str">
        <v>T048</v>
      </c>
      <c r="B49" t="str">
        <v>P024</v>
      </c>
      <c r="C49" t="str">
        <v>https://pmb.widyatama.ac.id/apresiasi-prestasi-mahasiswa/</v>
      </c>
      <c r="D49" t="str">
        <v>desktop</v>
      </c>
      <c r="E49" t="str">
        <v>Campus Life</v>
      </c>
      <c r="F49" t="str">
        <v>Core PMB Website</v>
      </c>
      <c r="G49" t="str">
        <v>P2 - High</v>
      </c>
      <c r="H49" t="str">
        <v>BL_20260821</v>
      </c>
      <c r="I49" t="str">
        <v>BEFORE</v>
      </c>
    </row>
    <row r="50" spans="1:9">
      <c r="A50" t="str">
        <v>T049</v>
      </c>
      <c r="B50" t="str">
        <v>P025</v>
      </c>
      <c r="C50" t="str">
        <v>https://pmb.widyatama.ac.id/asuransi-mahasiswa/</v>
      </c>
      <c r="D50" t="str">
        <v>mobile</v>
      </c>
      <c r="E50" t="str">
        <v>Campus Life</v>
      </c>
      <c r="F50" t="str">
        <v>Core PMB Website</v>
      </c>
      <c r="G50" t="str">
        <v>P2 - High</v>
      </c>
      <c r="H50" t="str">
        <v>BL_20260821</v>
      </c>
      <c r="I50" t="str">
        <v>BEFORE</v>
      </c>
    </row>
    <row r="51" spans="1:9">
      <c r="A51" t="str">
        <v>T050</v>
      </c>
      <c r="B51" t="str">
        <v>P025</v>
      </c>
      <c r="C51" t="str">
        <v>https://pmb.widyatama.ac.id/asuransi-mahasiswa/</v>
      </c>
      <c r="D51" t="str">
        <v>desktop</v>
      </c>
      <c r="E51" t="str">
        <v>Campus Life</v>
      </c>
      <c r="F51" t="str">
        <v>Core PMB Website</v>
      </c>
      <c r="G51" t="str">
        <v>P2 - High</v>
      </c>
      <c r="H51" t="str">
        <v>BL_20260821</v>
      </c>
      <c r="I51" t="str">
        <v>BEFORE</v>
      </c>
    </row>
    <row r="52" spans="1:9">
      <c r="A52" t="str">
        <v>T051</v>
      </c>
      <c r="B52" t="str">
        <v>P026</v>
      </c>
      <c r="C52" t="str">
        <v>https://pmb.widyatama.ac.id/organisasi-kemahasiswaan/</v>
      </c>
      <c r="D52" t="str">
        <v>mobile</v>
      </c>
      <c r="E52" t="str">
        <v>Campus Life</v>
      </c>
      <c r="F52" t="str">
        <v>Core PMB Website</v>
      </c>
      <c r="G52" t="str">
        <v>P2 - High</v>
      </c>
      <c r="H52" t="str">
        <v>BL_20260821</v>
      </c>
      <c r="I52" t="str">
        <v>BEFORE</v>
      </c>
    </row>
    <row r="53" spans="1:9">
      <c r="A53" t="str">
        <v>T052</v>
      </c>
      <c r="B53" t="str">
        <v>P026</v>
      </c>
      <c r="C53" t="str">
        <v>https://pmb.widyatama.ac.id/organisasi-kemahasiswaan/</v>
      </c>
      <c r="D53" t="str">
        <v>desktop</v>
      </c>
      <c r="E53" t="str">
        <v>Campus Life</v>
      </c>
      <c r="F53" t="str">
        <v>Core PMB Website</v>
      </c>
      <c r="G53" t="str">
        <v>P2 - High</v>
      </c>
      <c r="H53" t="str">
        <v>BL_20260821</v>
      </c>
      <c r="I53" t="str">
        <v>BEFORE</v>
      </c>
    </row>
    <row r="54" spans="1:9">
      <c r="A54" t="str">
        <v>T053</v>
      </c>
      <c r="B54" t="str">
        <v>P027</v>
      </c>
      <c r="C54" t="str">
        <v>https://pmb.widyatama.ac.id/jalur-seleksi-unggulan/</v>
      </c>
      <c r="D54" t="str">
        <v>mobile</v>
      </c>
      <c r="E54" t="str">
        <v>Admission</v>
      </c>
      <c r="F54" t="str">
        <v>Core PMB Website</v>
      </c>
      <c r="G54" t="str">
        <v>P1 - Critical</v>
      </c>
      <c r="H54" t="str">
        <v>BL_20260821</v>
      </c>
      <c r="I54" t="str">
        <v>BEFORE</v>
      </c>
    </row>
    <row r="55" spans="1:9">
      <c r="A55" t="str">
        <v>T054</v>
      </c>
      <c r="B55" t="str">
        <v>P027</v>
      </c>
      <c r="C55" t="str">
        <v>https://pmb.widyatama.ac.id/jalur-seleksi-unggulan/</v>
      </c>
      <c r="D55" t="str">
        <v>desktop</v>
      </c>
      <c r="E55" t="str">
        <v>Admission</v>
      </c>
      <c r="F55" t="str">
        <v>Core PMB Website</v>
      </c>
      <c r="G55" t="str">
        <v>P1 - Critical</v>
      </c>
      <c r="H55" t="str">
        <v>BL_20260821</v>
      </c>
      <c r="I55" t="str">
        <v>BEFORE</v>
      </c>
    </row>
    <row r="56" spans="1:9">
      <c r="A56" t="str">
        <v>T055</v>
      </c>
      <c r="B56" t="str">
        <v>P028</v>
      </c>
      <c r="C56" t="str">
        <v>https://pmb.widyatama.ac.id/jalur-reguler-pendidikan-profesi/</v>
      </c>
      <c r="D56" t="str">
        <v>mobile</v>
      </c>
      <c r="E56" t="str">
        <v>Admission</v>
      </c>
      <c r="F56" t="str">
        <v>Core PMB Website</v>
      </c>
      <c r="G56" t="str">
        <v>P1 - Critical</v>
      </c>
      <c r="H56" t="str">
        <v>BL_20260821</v>
      </c>
      <c r="I56" t="str">
        <v>BEFORE</v>
      </c>
    </row>
    <row r="57" spans="1:9">
      <c r="A57" t="str">
        <v>T056</v>
      </c>
      <c r="B57" t="str">
        <v>P028</v>
      </c>
      <c r="C57" t="str">
        <v>https://pmb.widyatama.ac.id/jalur-reguler-pendidikan-profesi/</v>
      </c>
      <c r="D57" t="str">
        <v>desktop</v>
      </c>
      <c r="E57" t="str">
        <v>Admission</v>
      </c>
      <c r="F57" t="str">
        <v>Core PMB Website</v>
      </c>
      <c r="G57" t="str">
        <v>P1 - Critical</v>
      </c>
      <c r="H57" t="str">
        <v>BL_20260821</v>
      </c>
      <c r="I57" t="str">
        <v>BEFORE</v>
      </c>
    </row>
    <row r="58" spans="1:9">
      <c r="A58" t="str">
        <v>T057</v>
      </c>
      <c r="B58" t="str">
        <v>P029</v>
      </c>
      <c r="C58" t="str">
        <v>https://pmb.widyatama.ac.id/jalur-pasca-reguler-maksi/</v>
      </c>
      <c r="D58" t="str">
        <v>mobile</v>
      </c>
      <c r="E58" t="str">
        <v>Admission</v>
      </c>
      <c r="F58" t="str">
        <v>Core PMB Website</v>
      </c>
      <c r="G58" t="str">
        <v>P1 - Critical</v>
      </c>
      <c r="H58" t="str">
        <v>BL_20260821</v>
      </c>
      <c r="I58" t="str">
        <v>BEFORE</v>
      </c>
    </row>
    <row r="59" spans="1:9">
      <c r="A59" t="str">
        <v>T058</v>
      </c>
      <c r="B59" t="str">
        <v>P029</v>
      </c>
      <c r="C59" t="str">
        <v>https://pmb.widyatama.ac.id/jalur-pasca-reguler-maksi/</v>
      </c>
      <c r="D59" t="str">
        <v>desktop</v>
      </c>
      <c r="E59" t="str">
        <v>Admission</v>
      </c>
      <c r="F59" t="str">
        <v>Core PMB Website</v>
      </c>
      <c r="G59" t="str">
        <v>P1 - Critical</v>
      </c>
      <c r="H59" t="str">
        <v>BL_20260821</v>
      </c>
      <c r="I59" t="str">
        <v>BEFORE</v>
      </c>
    </row>
    <row r="60" spans="1:9">
      <c r="A60" t="str">
        <v>T059</v>
      </c>
      <c r="B60" t="str">
        <v>P030</v>
      </c>
      <c r="C60" t="str">
        <v>https://pmb.widyatama.ac.id/jalur-pasca-reguler-mm/</v>
      </c>
      <c r="D60" t="str">
        <v>mobile</v>
      </c>
      <c r="E60" t="str">
        <v>Admission</v>
      </c>
      <c r="F60" t="str">
        <v>Core PMB Website</v>
      </c>
      <c r="G60" t="str">
        <v>P1 - Critical</v>
      </c>
      <c r="H60" t="str">
        <v>BL_20260821</v>
      </c>
      <c r="I60" t="str">
        <v>BEFORE</v>
      </c>
    </row>
    <row r="61" spans="1:9">
      <c r="A61" t="str">
        <v>T060</v>
      </c>
      <c r="B61" t="str">
        <v>P030</v>
      </c>
      <c r="C61" t="str">
        <v>https://pmb.widyatama.ac.id/jalur-pasca-reguler-mm/</v>
      </c>
      <c r="D61" t="str">
        <v>desktop</v>
      </c>
      <c r="E61" t="str">
        <v>Admission</v>
      </c>
      <c r="F61" t="str">
        <v>Core PMB Website</v>
      </c>
      <c r="G61" t="str">
        <v>P1 - Critical</v>
      </c>
      <c r="H61" t="str">
        <v>BL_20260821</v>
      </c>
      <c r="I61" t="str">
        <v>BEFORE</v>
      </c>
    </row>
    <row r="62" spans="1:9">
      <c r="A62" t="str">
        <v>T061</v>
      </c>
      <c r="B62" t="str">
        <v>P031</v>
      </c>
      <c r="C62" t="str">
        <v>https://pmb.widyatama.ac.id/jalur-seleksi-mandiri/</v>
      </c>
      <c r="D62" t="str">
        <v>mobile</v>
      </c>
      <c r="E62" t="str">
        <v>Admission</v>
      </c>
      <c r="F62" t="str">
        <v>Core PMB Website</v>
      </c>
      <c r="G62" t="str">
        <v>P1 - Critical</v>
      </c>
      <c r="H62" t="str">
        <v>BL_20260821</v>
      </c>
      <c r="I62" t="str">
        <v>BEFORE</v>
      </c>
    </row>
    <row r="63" spans="1:9">
      <c r="A63" t="str">
        <v>T062</v>
      </c>
      <c r="B63" t="str">
        <v>P031</v>
      </c>
      <c r="C63" t="str">
        <v>https://pmb.widyatama.ac.id/jalur-seleksi-mandiri/</v>
      </c>
      <c r="D63" t="str">
        <v>desktop</v>
      </c>
      <c r="E63" t="str">
        <v>Admission</v>
      </c>
      <c r="F63" t="str">
        <v>Core PMB Website</v>
      </c>
      <c r="G63" t="str">
        <v>P1 - Critical</v>
      </c>
      <c r="H63" t="str">
        <v>BL_20260821</v>
      </c>
      <c r="I63" t="str">
        <v>BEFORE</v>
      </c>
    </row>
    <row r="64" spans="1:9">
      <c r="A64" t="str">
        <v>T063</v>
      </c>
      <c r="B64" t="str">
        <v>P032</v>
      </c>
      <c r="C64" t="str">
        <v>https://pmb.widyatama.ac.id/jalur-seleksi-pmdk/</v>
      </c>
      <c r="D64" t="str">
        <v>mobile</v>
      </c>
      <c r="E64" t="str">
        <v>Admission</v>
      </c>
      <c r="F64" t="str">
        <v>Core PMB Website</v>
      </c>
      <c r="G64" t="str">
        <v>P1 - Critical</v>
      </c>
      <c r="H64" t="str">
        <v>BL_20260821</v>
      </c>
      <c r="I64" t="str">
        <v>BEFORE</v>
      </c>
    </row>
    <row r="65" spans="1:9">
      <c r="A65" t="str">
        <v>T064</v>
      </c>
      <c r="B65" t="str">
        <v>P032</v>
      </c>
      <c r="C65" t="str">
        <v>https://pmb.widyatama.ac.id/jalur-seleksi-pmdk/</v>
      </c>
      <c r="D65" t="str">
        <v>desktop</v>
      </c>
      <c r="E65" t="str">
        <v>Admission</v>
      </c>
      <c r="F65" t="str">
        <v>Core PMB Website</v>
      </c>
      <c r="G65" t="str">
        <v>P1 - Critical</v>
      </c>
      <c r="H65" t="str">
        <v>BL_20260821</v>
      </c>
      <c r="I65" t="str">
        <v>BEFORE</v>
      </c>
    </row>
    <row r="66" spans="1:9">
      <c r="A66" t="str">
        <v>T065</v>
      </c>
      <c r="B66" t="str">
        <v>P033</v>
      </c>
      <c r="C66" t="str">
        <v>https://pmb.widyatama.ac.id/jalur-seleksi-utama/</v>
      </c>
      <c r="D66" t="str">
        <v>mobile</v>
      </c>
      <c r="E66" t="str">
        <v>Admission</v>
      </c>
      <c r="F66" t="str">
        <v>Core PMB Website</v>
      </c>
      <c r="G66" t="str">
        <v>P1 - Critical</v>
      </c>
      <c r="H66" t="str">
        <v>BL_20260821</v>
      </c>
      <c r="I66" t="str">
        <v>BEFORE</v>
      </c>
    </row>
    <row r="67" spans="1:9">
      <c r="A67" t="str">
        <v>T066</v>
      </c>
      <c r="B67" t="str">
        <v>P033</v>
      </c>
      <c r="C67" t="str">
        <v>https://pmb.widyatama.ac.id/jalur-seleksi-utama/</v>
      </c>
      <c r="D67" t="str">
        <v>desktop</v>
      </c>
      <c r="E67" t="str">
        <v>Admission</v>
      </c>
      <c r="F67" t="str">
        <v>Core PMB Website</v>
      </c>
      <c r="G67" t="str">
        <v>P1 - Critical</v>
      </c>
      <c r="H67" t="str">
        <v>BL_20260821</v>
      </c>
      <c r="I67" t="str">
        <v>BEFORE</v>
      </c>
    </row>
    <row r="68" spans="1:9">
      <c r="A68" t="str">
        <v>T067</v>
      </c>
      <c r="B68" t="str">
        <v>P034</v>
      </c>
      <c r="C68" t="str">
        <v>https://pmb.widyatama.ac.id/jalur-doktoral-reguler/</v>
      </c>
      <c r="D68" t="str">
        <v>mobile</v>
      </c>
      <c r="E68" t="str">
        <v>Admission</v>
      </c>
      <c r="F68" t="str">
        <v>Core PMB Website</v>
      </c>
      <c r="G68" t="str">
        <v>P1 - Critical</v>
      </c>
      <c r="H68" t="str">
        <v>BL_20260821</v>
      </c>
      <c r="I68" t="str">
        <v>BEFORE</v>
      </c>
    </row>
    <row r="69" spans="1:9">
      <c r="A69" t="str">
        <v>T068</v>
      </c>
      <c r="B69" t="str">
        <v>P034</v>
      </c>
      <c r="C69" t="str">
        <v>https://pmb.widyatama.ac.id/jalur-doktoral-reguler/</v>
      </c>
      <c r="D69" t="str">
        <v>desktop</v>
      </c>
      <c r="E69" t="str">
        <v>Admission</v>
      </c>
      <c r="F69" t="str">
        <v>Core PMB Website</v>
      </c>
      <c r="G69" t="str">
        <v>P1 - Critical</v>
      </c>
      <c r="H69" t="str">
        <v>BL_20260821</v>
      </c>
      <c r="I69" t="str">
        <v>BEFORE</v>
      </c>
    </row>
    <row r="70" spans="1:9">
      <c r="A70" t="str">
        <v>T069</v>
      </c>
      <c r="B70" t="str">
        <v>P035</v>
      </c>
      <c r="C70" t="str">
        <v>https://pmb.widyatama.ac.id/jalur-seleksi-reguler/</v>
      </c>
      <c r="D70" t="str">
        <v>mobile</v>
      </c>
      <c r="E70" t="str">
        <v>Admission</v>
      </c>
      <c r="F70" t="str">
        <v>Core PMB Website</v>
      </c>
      <c r="G70" t="str">
        <v>P1 - Critical</v>
      </c>
      <c r="H70" t="str">
        <v>BL_20260821</v>
      </c>
      <c r="I70" t="str">
        <v>BEFORE</v>
      </c>
    </row>
    <row r="71" spans="1:9">
      <c r="A71" t="str">
        <v>T070</v>
      </c>
      <c r="B71" t="str">
        <v>P035</v>
      </c>
      <c r="C71" t="str">
        <v>https://pmb.widyatama.ac.id/jalur-seleksi-reguler/</v>
      </c>
      <c r="D71" t="str">
        <v>desktop</v>
      </c>
      <c r="E71" t="str">
        <v>Admission</v>
      </c>
      <c r="F71" t="str">
        <v>Core PMB Website</v>
      </c>
      <c r="G71" t="str">
        <v>P1 - Critical</v>
      </c>
      <c r="H71" t="str">
        <v>BL_20260821</v>
      </c>
      <c r="I71" t="str">
        <v>BEFORE</v>
      </c>
    </row>
    <row r="72" spans="1:9">
      <c r="A72" t="str">
        <v>T071</v>
      </c>
      <c r="B72" t="str">
        <v>P036</v>
      </c>
      <c r="C72" t="str">
        <v>https://pmb.widyatama.ac.id/jalur-seleksi-khusus/</v>
      </c>
      <c r="D72" t="str">
        <v>mobile</v>
      </c>
      <c r="E72" t="str">
        <v>Admission</v>
      </c>
      <c r="F72" t="str">
        <v>Core PMB Website</v>
      </c>
      <c r="G72" t="str">
        <v>P1 - Critical</v>
      </c>
      <c r="H72" t="str">
        <v>BL_20260821</v>
      </c>
      <c r="I72" t="str">
        <v>BEFORE</v>
      </c>
    </row>
    <row r="73" spans="1:9">
      <c r="A73" t="str">
        <v>T072</v>
      </c>
      <c r="B73" t="str">
        <v>P036</v>
      </c>
      <c r="C73" t="str">
        <v>https://pmb.widyatama.ac.id/jalur-seleksi-khusus/</v>
      </c>
      <c r="D73" t="str">
        <v>desktop</v>
      </c>
      <c r="E73" t="str">
        <v>Admission</v>
      </c>
      <c r="F73" t="str">
        <v>Core PMB Website</v>
      </c>
      <c r="G73" t="str">
        <v>P1 - Critical</v>
      </c>
      <c r="H73" t="str">
        <v>BL_20260821</v>
      </c>
      <c r="I73" t="str">
        <v>BEFORE</v>
      </c>
    </row>
    <row r="74" spans="1:9">
      <c r="A74" t="str">
        <v>T073</v>
      </c>
      <c r="B74" t="str">
        <v>P037</v>
      </c>
      <c r="C74" t="str">
        <v>https://pmb.widyatama.ac.id/jalur-seleksi-prioritas/</v>
      </c>
      <c r="D74" t="str">
        <v>mobile</v>
      </c>
      <c r="E74" t="str">
        <v>Admission</v>
      </c>
      <c r="F74" t="str">
        <v>Core PMB Website</v>
      </c>
      <c r="G74" t="str">
        <v>P1 - Critical</v>
      </c>
      <c r="H74" t="str">
        <v>BL_20260821</v>
      </c>
      <c r="I74" t="str">
        <v>BEFORE</v>
      </c>
    </row>
    <row r="75" spans="1:9">
      <c r="A75" t="str">
        <v>T074</v>
      </c>
      <c r="B75" t="str">
        <v>P037</v>
      </c>
      <c r="C75" t="str">
        <v>https://pmb.widyatama.ac.id/jalur-seleksi-prioritas/</v>
      </c>
      <c r="D75" t="str">
        <v>desktop</v>
      </c>
      <c r="E75" t="str">
        <v>Admission</v>
      </c>
      <c r="F75" t="str">
        <v>Core PMB Website</v>
      </c>
      <c r="G75" t="str">
        <v>P1 - Critical</v>
      </c>
      <c r="H75" t="str">
        <v>BL_20260821</v>
      </c>
      <c r="I75" t="str">
        <v>BEFORE</v>
      </c>
    </row>
    <row r="76" spans="1:9">
      <c r="A76" t="str">
        <v>T075</v>
      </c>
      <c r="B76" t="str">
        <v>P038</v>
      </c>
      <c r="C76" t="str">
        <v>https://online.pmb.widyatama.ac.id/register/fst</v>
      </c>
      <c r="D76" t="str">
        <v>mobile</v>
      </c>
      <c r="E76" t="str">
        <v>Registration System</v>
      </c>
      <c r="F76" t="str">
        <v>Registration System</v>
      </c>
      <c r="G76" t="str">
        <v>P1 - Critical</v>
      </c>
      <c r="H76" t="str">
        <v>BL_20260821</v>
      </c>
      <c r="I76" t="str">
        <v>BEFORE</v>
      </c>
    </row>
    <row r="77" spans="1:9">
      <c r="A77" t="str">
        <v>T076</v>
      </c>
      <c r="B77" t="str">
        <v>P038</v>
      </c>
      <c r="C77" t="str">
        <v>https://online.pmb.widyatama.ac.id/register/fst</v>
      </c>
      <c r="D77" t="str">
        <v>desktop</v>
      </c>
      <c r="E77" t="str">
        <v>Registration System</v>
      </c>
      <c r="F77" t="str">
        <v>Registration System</v>
      </c>
      <c r="G77" t="str">
        <v>P1 - Critical</v>
      </c>
      <c r="H77" t="str">
        <v>BL_20260821</v>
      </c>
      <c r="I77" t="str">
        <v>BEFORE</v>
      </c>
    </row>
    <row r="78" spans="1:9">
      <c r="A78" t="str">
        <v>T077</v>
      </c>
      <c r="B78" t="str">
        <v>P039</v>
      </c>
      <c r="C78" t="str">
        <v>https://online.pmb.widyatama.ac.id/register/kk</v>
      </c>
      <c r="D78" t="str">
        <v>mobile</v>
      </c>
      <c r="E78" t="str">
        <v>Registration System</v>
      </c>
      <c r="F78" t="str">
        <v>Registration System</v>
      </c>
      <c r="G78" t="str">
        <v>P1 - Critical</v>
      </c>
      <c r="H78" t="str">
        <v>BL_20260821</v>
      </c>
      <c r="I78" t="str">
        <v>BEFORE</v>
      </c>
    </row>
    <row r="79" spans="1:9">
      <c r="A79" t="str">
        <v>T078</v>
      </c>
      <c r="B79" t="str">
        <v>P039</v>
      </c>
      <c r="C79" t="str">
        <v>https://online.pmb.widyatama.ac.id/register/kk</v>
      </c>
      <c r="D79" t="str">
        <v>desktop</v>
      </c>
      <c r="E79" t="str">
        <v>Registration System</v>
      </c>
      <c r="F79" t="str">
        <v>Registration System</v>
      </c>
      <c r="G79" t="str">
        <v>P1 - Critical</v>
      </c>
      <c r="H79" t="str">
        <v>BL_20260821</v>
      </c>
      <c r="I79" t="str">
        <v>BEFORE</v>
      </c>
    </row>
    <row r="80" spans="1:9">
      <c r="A80" t="str">
        <v>T079</v>
      </c>
      <c r="B80" t="str">
        <v>P040</v>
      </c>
      <c r="C80" t="str">
        <v>https://online.pmb.widyatama.ac.id/register/s3</v>
      </c>
      <c r="D80" t="str">
        <v>mobile</v>
      </c>
      <c r="E80" t="str">
        <v>Registration System</v>
      </c>
      <c r="F80" t="str">
        <v>Registration System</v>
      </c>
      <c r="G80" t="str">
        <v>P1 - Critical</v>
      </c>
      <c r="H80" t="str">
        <v>BL_20260821</v>
      </c>
      <c r="I80" t="str">
        <v>BEFORE</v>
      </c>
    </row>
    <row r="81" spans="1:9">
      <c r="A81" t="str">
        <v>T080</v>
      </c>
      <c r="B81" t="str">
        <v>P040</v>
      </c>
      <c r="C81" t="str">
        <v>https://online.pmb.widyatama.ac.id/register/s3</v>
      </c>
      <c r="D81" t="str">
        <v>desktop</v>
      </c>
      <c r="E81" t="str">
        <v>Registration System</v>
      </c>
      <c r="F81" t="str">
        <v>Registration System</v>
      </c>
      <c r="G81" t="str">
        <v>P1 - Critical</v>
      </c>
      <c r="H81" t="str">
        <v>BL_20260821</v>
      </c>
      <c r="I81" t="str">
        <v>BEFORE</v>
      </c>
    </row>
    <row r="82" spans="1:9">
      <c r="A82" t="str">
        <v>T081</v>
      </c>
      <c r="B82" t="str">
        <v>P041</v>
      </c>
      <c r="C82" t="str">
        <v>https://pmb.widyatama.ac.id/aktivitas-civitas/3/</v>
      </c>
      <c r="D82" t="str">
        <v>mobile</v>
      </c>
      <c r="E82" t="str">
        <v>Campus Life</v>
      </c>
      <c r="F82" t="str">
        <v>Core PMB Website</v>
      </c>
      <c r="G82" t="str">
        <v>P2 - High</v>
      </c>
      <c r="H82" t="str">
        <v>BL_20260821</v>
      </c>
      <c r="I82" t="str">
        <v>BEFORE</v>
      </c>
    </row>
    <row r="83" spans="1:9">
      <c r="A83" t="str">
        <v>T082</v>
      </c>
      <c r="B83" t="str">
        <v>P041</v>
      </c>
      <c r="C83" t="str">
        <v>https://pmb.widyatama.ac.id/aktivitas-civitas/3/</v>
      </c>
      <c r="D83" t="str">
        <v>desktop</v>
      </c>
      <c r="E83" t="str">
        <v>Campus Life</v>
      </c>
      <c r="F83" t="str">
        <v>Core PMB Website</v>
      </c>
      <c r="G83" t="str">
        <v>P2 - High</v>
      </c>
      <c r="H83" t="str">
        <v>BL_20260821</v>
      </c>
      <c r="I83" t="str">
        <v>BEFORE</v>
      </c>
    </row>
    <row r="84" spans="1:9">
      <c r="A84" t="str">
        <v>T083</v>
      </c>
      <c r="B84" t="str">
        <v>P042</v>
      </c>
      <c r="C84" t="str">
        <v>https://pmb.widyatama.ac.id/aktivitas-civitas/2/</v>
      </c>
      <c r="D84" t="str">
        <v>mobile</v>
      </c>
      <c r="E84" t="str">
        <v>Campus Life</v>
      </c>
      <c r="F84" t="str">
        <v>Core PMB Website</v>
      </c>
      <c r="G84" t="str">
        <v>P2 - High</v>
      </c>
      <c r="H84" t="str">
        <v>BL_20260821</v>
      </c>
      <c r="I84" t="str">
        <v>BEFORE</v>
      </c>
    </row>
    <row r="85" spans="1:9">
      <c r="A85" t="str">
        <v>T084</v>
      </c>
      <c r="B85" t="str">
        <v>P042</v>
      </c>
      <c r="C85" t="str">
        <v>https://pmb.widyatama.ac.id/aktivitas-civitas/2/</v>
      </c>
      <c r="D85" t="str">
        <v>desktop</v>
      </c>
      <c r="E85" t="str">
        <v>Campus Life</v>
      </c>
      <c r="F85" t="str">
        <v>Core PMB Website</v>
      </c>
      <c r="G85" t="str">
        <v>P2 - High</v>
      </c>
      <c r="H85" t="str">
        <v>BL_20260821</v>
      </c>
      <c r="I85" t="str">
        <v>BEFORE</v>
      </c>
    </row>
    <row r="86" spans="1:9">
      <c r="A86" t="str">
        <v>T085</v>
      </c>
      <c r="B86" t="str">
        <v>P043</v>
      </c>
      <c r="C86" t="str">
        <v>https://online.pmb.widyatama.ac.id/auth/login</v>
      </c>
      <c r="D86" t="str">
        <v>mobile</v>
      </c>
      <c r="E86" t="str">
        <v>Registration System</v>
      </c>
      <c r="F86" t="str">
        <v>Registration System</v>
      </c>
      <c r="G86" t="str">
        <v>P1 - Critical</v>
      </c>
      <c r="H86" t="str">
        <v>BL_20260821</v>
      </c>
      <c r="I86" t="str">
        <v>BEFORE</v>
      </c>
    </row>
    <row r="87" spans="1:9">
      <c r="A87" t="str">
        <v>T086</v>
      </c>
      <c r="B87" t="str">
        <v>P043</v>
      </c>
      <c r="C87" t="str">
        <v>https://online.pmb.widyatama.ac.id/auth/login</v>
      </c>
      <c r="D87" t="str">
        <v>desktop</v>
      </c>
      <c r="E87" t="str">
        <v>Registration System</v>
      </c>
      <c r="F87" t="str">
        <v>Registration System</v>
      </c>
      <c r="G87" t="str">
        <v>P1 - Critical</v>
      </c>
      <c r="H87" t="str">
        <v>BL_20260821</v>
      </c>
      <c r="I87" t="str">
        <v>BEFORE</v>
      </c>
    </row>
    <row r="88" spans="1:9">
      <c r="A88" t="str">
        <v>T087</v>
      </c>
      <c r="B88" t="str">
        <v>P044</v>
      </c>
      <c r="C88" t="str">
        <v>https://pmb.widyatama.ac.id/democracy-in-indonesia-why-it-feels-weak-at-the-grassroots/</v>
      </c>
      <c r="D88" t="str">
        <v>mobile</v>
      </c>
      <c r="E88" t="str">
        <v>Content Review</v>
      </c>
      <c r="F88" t="str">
        <v>Content Audit</v>
      </c>
      <c r="G88" t="str">
        <v>P4 - Content Audit</v>
      </c>
      <c r="H88" t="str">
        <v>BL_20260821</v>
      </c>
      <c r="I88" t="str">
        <v>BEFORE</v>
      </c>
    </row>
    <row r="89" spans="1:9">
      <c r="A89" t="str">
        <v>T088</v>
      </c>
      <c r="B89" t="str">
        <v>P044</v>
      </c>
      <c r="C89" t="str">
        <v>https://pmb.widyatama.ac.id/democracy-in-indonesia-why-it-feels-weak-at-the-grassroots/</v>
      </c>
      <c r="D89" t="str">
        <v>desktop</v>
      </c>
      <c r="E89" t="str">
        <v>Content Review</v>
      </c>
      <c r="F89" t="str">
        <v>Content Audit</v>
      </c>
      <c r="G89" t="str">
        <v>P4 - Content Audit</v>
      </c>
      <c r="H89" t="str">
        <v>BL_20260821</v>
      </c>
      <c r="I89" t="str">
        <v>BEFORE</v>
      </c>
    </row>
    <row r="90" spans="1:9">
      <c r="A90" t="str">
        <v>T089</v>
      </c>
      <c r="B90" t="str">
        <v>P045</v>
      </c>
      <c r="C90" t="str">
        <v>https://pmb.widyatama.ac.id/2025/09/19/</v>
      </c>
      <c r="D90" t="str">
        <v>mobile</v>
      </c>
      <c r="E90" t="str">
        <v>Content Review</v>
      </c>
      <c r="F90" t="str">
        <v>Content Audit</v>
      </c>
      <c r="G90" t="str">
        <v>P4 - Content Audit</v>
      </c>
      <c r="H90" t="str">
        <v>BL_20260821</v>
      </c>
      <c r="I90" t="str">
        <v>BEFORE</v>
      </c>
    </row>
    <row r="91" spans="1:9">
      <c r="A91" t="str">
        <v>T090</v>
      </c>
      <c r="B91" t="str">
        <v>P045</v>
      </c>
      <c r="C91" t="str">
        <v>https://pmb.widyatama.ac.id/2025/09/19/</v>
      </c>
      <c r="D91" t="str">
        <v>desktop</v>
      </c>
      <c r="E91" t="str">
        <v>Content Review</v>
      </c>
      <c r="F91" t="str">
        <v>Content Audit</v>
      </c>
      <c r="G91" t="str">
        <v>P4 - Content Audit</v>
      </c>
      <c r="H91" t="str">
        <v>BL_20260821</v>
      </c>
      <c r="I91" t="str">
        <v>BEFORE</v>
      </c>
    </row>
    <row r="92" spans="1:9">
      <c r="A92" t="str">
        <v>T091</v>
      </c>
      <c r="B92" t="str">
        <v>P046</v>
      </c>
      <c r="C92" t="str">
        <v>https://pmb.widyatama.ac.id/democracy-in-indonesia-why-it-feels-weak-at-the-grassroots-4/</v>
      </c>
      <c r="D92" t="str">
        <v>mobile</v>
      </c>
      <c r="E92" t="str">
        <v>Content Review</v>
      </c>
      <c r="F92" t="str">
        <v>Content Audit</v>
      </c>
      <c r="G92" t="str">
        <v>P4 - Content Audit</v>
      </c>
      <c r="H92" t="str">
        <v>BL_20260821</v>
      </c>
      <c r="I92" t="str">
        <v>BEFORE</v>
      </c>
    </row>
    <row r="93" spans="1:9">
      <c r="A93" t="str">
        <v>T092</v>
      </c>
      <c r="B93" t="str">
        <v>P046</v>
      </c>
      <c r="C93" t="str">
        <v>https://pmb.widyatama.ac.id/democracy-in-indonesia-why-it-feels-weak-at-the-grassroots-4/</v>
      </c>
      <c r="D93" t="str">
        <v>desktop</v>
      </c>
      <c r="E93" t="str">
        <v>Content Review</v>
      </c>
      <c r="F93" t="str">
        <v>Content Audit</v>
      </c>
      <c r="G93" t="str">
        <v>P4 - Content Audit</v>
      </c>
      <c r="H93" t="str">
        <v>BL_20260821</v>
      </c>
      <c r="I93" t="str">
        <v>BEFORE</v>
      </c>
    </row>
    <row r="94" spans="1:9">
      <c r="A94" t="str">
        <v>T093</v>
      </c>
      <c r="B94" t="str">
        <v>P047</v>
      </c>
      <c r="C94" t="str">
        <v>https://pmb.widyatama.ac.id/the-hidden-dangers-of-sugar-3/</v>
      </c>
      <c r="D94" t="str">
        <v>mobile</v>
      </c>
      <c r="E94" t="str">
        <v>Content Review</v>
      </c>
      <c r="F94" t="str">
        <v>Content Audit</v>
      </c>
      <c r="G94" t="str">
        <v>P4 - Content Audit</v>
      </c>
      <c r="H94" t="str">
        <v>BL_20260821</v>
      </c>
      <c r="I94" t="str">
        <v>BEFORE</v>
      </c>
    </row>
    <row r="95" spans="1:9">
      <c r="A95" t="str">
        <v>T094</v>
      </c>
      <c r="B95" t="str">
        <v>P047</v>
      </c>
      <c r="C95" t="str">
        <v>https://pmb.widyatama.ac.id/the-hidden-dangers-of-sugar-3/</v>
      </c>
      <c r="D95" t="str">
        <v>desktop</v>
      </c>
      <c r="E95" t="str">
        <v>Content Review</v>
      </c>
      <c r="F95" t="str">
        <v>Content Audit</v>
      </c>
      <c r="G95" t="str">
        <v>P4 - Content Audit</v>
      </c>
      <c r="H95" t="str">
        <v>BL_20260821</v>
      </c>
      <c r="I95" t="str">
        <v>BEFORE</v>
      </c>
    </row>
    <row r="96" spans="1:9">
      <c r="A96" t="str">
        <v>T095</v>
      </c>
      <c r="B96" t="str">
        <v>P048</v>
      </c>
      <c r="C96" t="str">
        <v>https://pmb.widyatama.ac.id/democracy-in-indonesia-why-it-feels-weak-at-the-grassroots-2/</v>
      </c>
      <c r="D96" t="str">
        <v>mobile</v>
      </c>
      <c r="E96" t="str">
        <v>Content Review</v>
      </c>
      <c r="F96" t="str">
        <v>Content Audit</v>
      </c>
      <c r="G96" t="str">
        <v>P4 - Content Audit</v>
      </c>
      <c r="H96" t="str">
        <v>BL_20260821</v>
      </c>
      <c r="I96" t="str">
        <v>BEFORE</v>
      </c>
    </row>
    <row r="97" spans="1:9">
      <c r="A97" t="str">
        <v>T096</v>
      </c>
      <c r="B97" t="str">
        <v>P048</v>
      </c>
      <c r="C97" t="str">
        <v>https://pmb.widyatama.ac.id/democracy-in-indonesia-why-it-feels-weak-at-the-grassroots-2/</v>
      </c>
      <c r="D97" t="str">
        <v>desktop</v>
      </c>
      <c r="E97" t="str">
        <v>Content Review</v>
      </c>
      <c r="F97" t="str">
        <v>Content Audit</v>
      </c>
      <c r="G97" t="str">
        <v>P4 - Content Audit</v>
      </c>
      <c r="H97" t="str">
        <v>BL_20260821</v>
      </c>
      <c r="I97" t="str">
        <v>BEFORE</v>
      </c>
    </row>
    <row r="98" spans="1:9">
      <c r="A98" t="str">
        <v>T097</v>
      </c>
      <c r="B98" t="str">
        <v>P049</v>
      </c>
      <c r="C98" t="str">
        <v>https://pmb.widyatama.ac.id/the-hidden-dangers-of-sugar-2/</v>
      </c>
      <c r="D98" t="str">
        <v>mobile</v>
      </c>
      <c r="E98" t="str">
        <v>Content Review</v>
      </c>
      <c r="F98" t="str">
        <v>Content Audit</v>
      </c>
      <c r="G98" t="str">
        <v>P4 - Content Audit</v>
      </c>
      <c r="H98" t="str">
        <v>BL_20260821</v>
      </c>
      <c r="I98" t="str">
        <v>BEFORE</v>
      </c>
    </row>
    <row r="99" spans="1:9">
      <c r="A99" t="str">
        <v>T098</v>
      </c>
      <c r="B99" t="str">
        <v>P049</v>
      </c>
      <c r="C99" t="str">
        <v>https://pmb.widyatama.ac.id/the-hidden-dangers-of-sugar-2/</v>
      </c>
      <c r="D99" t="str">
        <v>desktop</v>
      </c>
      <c r="E99" t="str">
        <v>Content Review</v>
      </c>
      <c r="F99" t="str">
        <v>Content Audit</v>
      </c>
      <c r="G99" t="str">
        <v>P4 - Content Audit</v>
      </c>
      <c r="H99" t="str">
        <v>BL_20260821</v>
      </c>
      <c r="I99" t="str">
        <v>BEFORE</v>
      </c>
    </row>
    <row r="100" spans="1:9">
      <c r="A100" t="str">
        <v>T099</v>
      </c>
      <c r="B100" t="str">
        <v>P050</v>
      </c>
      <c r="C100" t="str">
        <v>https://pmb.widyatama.ac.id/the-hidden-dangers-of-sugar/</v>
      </c>
      <c r="D100" t="str">
        <v>mobile</v>
      </c>
      <c r="E100" t="str">
        <v>Content Review</v>
      </c>
      <c r="F100" t="str">
        <v>Content Audit</v>
      </c>
      <c r="G100" t="str">
        <v>P4 - Content Audit</v>
      </c>
      <c r="H100" t="str">
        <v>BL_20260821</v>
      </c>
      <c r="I100" t="str">
        <v>BEFORE</v>
      </c>
    </row>
    <row r="101" spans="1:9">
      <c r="A101" t="str">
        <v>T100</v>
      </c>
      <c r="B101" t="str">
        <v>P050</v>
      </c>
      <c r="C101" t="str">
        <v>https://pmb.widyatama.ac.id/the-hidden-dangers-of-sugar/</v>
      </c>
      <c r="D101" t="str">
        <v>desktop</v>
      </c>
      <c r="E101" t="str">
        <v>Content Review</v>
      </c>
      <c r="F101" t="str">
        <v>Content Audit</v>
      </c>
      <c r="G101" t="str">
        <v>P4 - Content Audit</v>
      </c>
      <c r="H101" t="str">
        <v>BL_20260821</v>
      </c>
      <c r="I101" t="str">
        <v>BEFORE</v>
      </c>
    </row>
    <row r="102" spans="1:9">
      <c r="A102" t="str">
        <v>T101</v>
      </c>
      <c r="B102" t="str">
        <v>P051</v>
      </c>
      <c r="C102" t="str">
        <v>https://pmb.widyatama.ac.id/the-rapid-advancement-of-digital-technology/</v>
      </c>
      <c r="D102" t="str">
        <v>mobile</v>
      </c>
      <c r="E102" t="str">
        <v>Content Review</v>
      </c>
      <c r="F102" t="str">
        <v>Content Audit</v>
      </c>
      <c r="G102" t="str">
        <v>P4 - Content Audit</v>
      </c>
      <c r="H102" t="str">
        <v>BL_20260821</v>
      </c>
      <c r="I102" t="str">
        <v>BEFORE</v>
      </c>
    </row>
    <row r="103" spans="1:9">
      <c r="A103" t="str">
        <v>T102</v>
      </c>
      <c r="B103" t="str">
        <v>P051</v>
      </c>
      <c r="C103" t="str">
        <v>https://pmb.widyatama.ac.id/the-rapid-advancement-of-digital-technology/</v>
      </c>
      <c r="D103" t="str">
        <v>desktop</v>
      </c>
      <c r="E103" t="str">
        <v>Content Review</v>
      </c>
      <c r="F103" t="str">
        <v>Content Audit</v>
      </c>
      <c r="G103" t="str">
        <v>P4 - Content Audit</v>
      </c>
      <c r="H103" t="str">
        <v>BL_20260821</v>
      </c>
      <c r="I103" t="str">
        <v>BEFORE</v>
      </c>
    </row>
    <row r="104" spans="1:9">
      <c r="A104" t="str">
        <v>T103</v>
      </c>
      <c r="B104" t="str">
        <v>P052</v>
      </c>
      <c r="C104" t="str">
        <v>https://pmb.widyatama.ac.id/the-rapid-advancement-of-digital-technology-2/</v>
      </c>
      <c r="D104" t="str">
        <v>mobile</v>
      </c>
      <c r="E104" t="str">
        <v>Content Review</v>
      </c>
      <c r="F104" t="str">
        <v>Content Audit</v>
      </c>
      <c r="G104" t="str">
        <v>P4 - Content Audit</v>
      </c>
      <c r="H104" t="str">
        <v>BL_20260821</v>
      </c>
      <c r="I104" t="str">
        <v>BEFORE</v>
      </c>
    </row>
    <row r="105" spans="1:9">
      <c r="A105" t="str">
        <v>T104</v>
      </c>
      <c r="B105" t="str">
        <v>P052</v>
      </c>
      <c r="C105" t="str">
        <v>https://pmb.widyatama.ac.id/the-rapid-advancement-of-digital-technology-2/</v>
      </c>
      <c r="D105" t="str">
        <v>desktop</v>
      </c>
      <c r="E105" t="str">
        <v>Content Review</v>
      </c>
      <c r="F105" t="str">
        <v>Content Audit</v>
      </c>
      <c r="G105" t="str">
        <v>P4 - Content Audit</v>
      </c>
      <c r="H105" t="str">
        <v>BL_20260821</v>
      </c>
      <c r="I105" t="str">
        <v>BEFORE</v>
      </c>
    </row>
    <row r="106" spans="1:9">
      <c r="A106" t="str">
        <v>T105</v>
      </c>
      <c r="B106" t="str">
        <v>P053</v>
      </c>
      <c r="C106" t="str">
        <v>https://pmb.widyatama.ac.id/democracy-in-indonesia-why-it-feels-weak-at-the-grassroots-3/</v>
      </c>
      <c r="D106" t="str">
        <v>mobile</v>
      </c>
      <c r="E106" t="str">
        <v>Content Review</v>
      </c>
      <c r="F106" t="str">
        <v>Content Audit</v>
      </c>
      <c r="G106" t="str">
        <v>P4 - Content Audit</v>
      </c>
      <c r="H106" t="str">
        <v>BL_20260821</v>
      </c>
      <c r="I106" t="str">
        <v>BEFORE</v>
      </c>
    </row>
    <row r="107" spans="1:9">
      <c r="A107" t="str">
        <v>T106</v>
      </c>
      <c r="B107" t="str">
        <v>P053</v>
      </c>
      <c r="C107" t="str">
        <v>https://pmb.widyatama.ac.id/democracy-in-indonesia-why-it-feels-weak-at-the-grassroots-3/</v>
      </c>
      <c r="D107" t="str">
        <v>desktop</v>
      </c>
      <c r="E107" t="str">
        <v>Content Review</v>
      </c>
      <c r="F107" t="str">
        <v>Content Audit</v>
      </c>
      <c r="G107" t="str">
        <v>P4 - Content Audit</v>
      </c>
      <c r="H107" t="str">
        <v>BL_20260821</v>
      </c>
      <c r="I107" t="str">
        <v>BEFORE</v>
      </c>
    </row>
    <row r="108" spans="1:9">
      <c r="A108" t="str">
        <v>T107</v>
      </c>
      <c r="B108" t="str">
        <v>P054</v>
      </c>
      <c r="C108" t="str">
        <v>https://pmb.widyatama.ac.id/program-studi/doktor-ilmu-manajemen/</v>
      </c>
      <c r="D108" t="str">
        <v>mobile</v>
      </c>
      <c r="E108" t="str">
        <v>Program</v>
      </c>
      <c r="F108" t="str">
        <v>Core PMB Website</v>
      </c>
      <c r="G108" t="str">
        <v>P1 - Critical</v>
      </c>
      <c r="H108" t="str">
        <v>BL_20260821</v>
      </c>
      <c r="I108" t="str">
        <v>BEFORE</v>
      </c>
    </row>
    <row r="109" spans="1:9">
      <c r="A109" t="str">
        <v>T108</v>
      </c>
      <c r="B109" t="str">
        <v>P054</v>
      </c>
      <c r="C109" t="str">
        <v>https://pmb.widyatama.ac.id/program-studi/doktor-ilmu-manajemen/</v>
      </c>
      <c r="D109" t="str">
        <v>desktop</v>
      </c>
      <c r="E109" t="str">
        <v>Program</v>
      </c>
      <c r="F109" t="str">
        <v>Core PMB Website</v>
      </c>
      <c r="G109" t="str">
        <v>P1 - Critical</v>
      </c>
      <c r="H109" t="str">
        <v>BL_20260821</v>
      </c>
      <c r="I109" t="str">
        <v>BEFORE</v>
      </c>
    </row>
    <row r="110" spans="1:9">
      <c r="A110" t="str">
        <v>T109</v>
      </c>
      <c r="B110" t="str">
        <v>P055</v>
      </c>
      <c r="C110" t="str">
        <v>https://pmb.widyatama.ac.id/program-studi/program-profesi-akuntansi/</v>
      </c>
      <c r="D110" t="str">
        <v>mobile</v>
      </c>
      <c r="E110" t="str">
        <v>Program</v>
      </c>
      <c r="F110" t="str">
        <v>Core PMB Website</v>
      </c>
      <c r="G110" t="str">
        <v>P1 - Critical</v>
      </c>
      <c r="H110" t="str">
        <v>BL_20260821</v>
      </c>
      <c r="I110" t="str">
        <v>BEFORE</v>
      </c>
    </row>
    <row r="111" spans="1:9">
      <c r="A111" t="str">
        <v>T110</v>
      </c>
      <c r="B111" t="str">
        <v>P055</v>
      </c>
      <c r="C111" t="str">
        <v>https://pmb.widyatama.ac.id/program-studi/program-profesi-akuntansi/</v>
      </c>
      <c r="D111" t="str">
        <v>desktop</v>
      </c>
      <c r="E111" t="str">
        <v>Program</v>
      </c>
      <c r="F111" t="str">
        <v>Core PMB Website</v>
      </c>
      <c r="G111" t="str">
        <v>P1 - Critical</v>
      </c>
      <c r="H111" t="str">
        <v>BL_20260821</v>
      </c>
      <c r="I111" t="str">
        <v>BEFORE</v>
      </c>
    </row>
    <row r="112" spans="1:9">
      <c r="A112" t="str">
        <v>T111</v>
      </c>
      <c r="B112" t="str">
        <v>P056</v>
      </c>
      <c r="C112" t="str">
        <v>https://pmb.widyatama.ac.id/program-studi/magister-akuntansi/</v>
      </c>
      <c r="D112" t="str">
        <v>mobile</v>
      </c>
      <c r="E112" t="str">
        <v>Program</v>
      </c>
      <c r="F112" t="str">
        <v>Core PMB Website</v>
      </c>
      <c r="G112" t="str">
        <v>P1 - Critical</v>
      </c>
      <c r="H112" t="str">
        <v>BL_20260821</v>
      </c>
      <c r="I112" t="str">
        <v>BEFORE</v>
      </c>
    </row>
    <row r="113" spans="1:9">
      <c r="A113" t="str">
        <v>T112</v>
      </c>
      <c r="B113" t="str">
        <v>P056</v>
      </c>
      <c r="C113" t="str">
        <v>https://pmb.widyatama.ac.id/program-studi/magister-akuntansi/</v>
      </c>
      <c r="D113" t="str">
        <v>desktop</v>
      </c>
      <c r="E113" t="str">
        <v>Program</v>
      </c>
      <c r="F113" t="str">
        <v>Core PMB Website</v>
      </c>
      <c r="G113" t="str">
        <v>P1 - Critical</v>
      </c>
      <c r="H113" t="str">
        <v>BL_20260821</v>
      </c>
      <c r="I113" t="str">
        <v>BEFORE</v>
      </c>
    </row>
    <row r="114" spans="1:9">
      <c r="A114" t="str">
        <v>T113</v>
      </c>
      <c r="B114" t="str">
        <v>P057</v>
      </c>
      <c r="C114" t="str">
        <v>https://online.pmb.widyatama.ac.id/register/rpl</v>
      </c>
      <c r="D114" t="str">
        <v>mobile</v>
      </c>
      <c r="E114" t="str">
        <v>Registration System</v>
      </c>
      <c r="F114" t="str">
        <v>Registration System</v>
      </c>
      <c r="G114" t="str">
        <v>P1 - Critical</v>
      </c>
      <c r="H114" t="str">
        <v>BL_20260821</v>
      </c>
      <c r="I114" t="str">
        <v>BEFORE</v>
      </c>
    </row>
    <row r="115" spans="1:9">
      <c r="A115" t="str">
        <v>T114</v>
      </c>
      <c r="B115" t="str">
        <v>P057</v>
      </c>
      <c r="C115" t="str">
        <v>https://online.pmb.widyatama.ac.id/register/rpl</v>
      </c>
      <c r="D115" t="str">
        <v>desktop</v>
      </c>
      <c r="E115" t="str">
        <v>Registration System</v>
      </c>
      <c r="F115" t="str">
        <v>Registration System</v>
      </c>
      <c r="G115" t="str">
        <v>P1 - Critical</v>
      </c>
      <c r="H115" t="str">
        <v>BL_20260821</v>
      </c>
      <c r="I115" t="str">
        <v>BEFORE</v>
      </c>
    </row>
    <row r="116" spans="1:9">
      <c r="A116" t="str">
        <v>T115</v>
      </c>
      <c r="B116" t="str">
        <v>P058</v>
      </c>
      <c r="C116" t="str">
        <v>https://online.pmb.widyatama.ac.id/register/reg</v>
      </c>
      <c r="D116" t="str">
        <v>mobile</v>
      </c>
      <c r="E116" t="str">
        <v>Registration System</v>
      </c>
      <c r="F116" t="str">
        <v>Registration System</v>
      </c>
      <c r="G116" t="str">
        <v>P1 - Critical</v>
      </c>
      <c r="H116" t="str">
        <v>BL_20260821</v>
      </c>
      <c r="I116" t="str">
        <v>BEFORE</v>
      </c>
    </row>
    <row r="117" spans="1:9">
      <c r="A117" t="str">
        <v>T116</v>
      </c>
      <c r="B117" t="str">
        <v>P058</v>
      </c>
      <c r="C117" t="str">
        <v>https://online.pmb.widyatama.ac.id/register/reg</v>
      </c>
      <c r="D117" t="str">
        <v>desktop</v>
      </c>
      <c r="E117" t="str">
        <v>Registration System</v>
      </c>
      <c r="F117" t="str">
        <v>Registration System</v>
      </c>
      <c r="G117" t="str">
        <v>P1 - Critical</v>
      </c>
      <c r="H117" t="str">
        <v>BL_20260821</v>
      </c>
      <c r="I117" t="str">
        <v>BEFORE</v>
      </c>
    </row>
    <row r="118" spans="1:9">
      <c r="A118" t="str">
        <v>T117</v>
      </c>
      <c r="B118" t="str">
        <v>P059</v>
      </c>
      <c r="C118" t="str">
        <v>https://online.pmb.widyatama.ac.id/register/sps</v>
      </c>
      <c r="D118" t="str">
        <v>mobile</v>
      </c>
      <c r="E118" t="str">
        <v>Registration System</v>
      </c>
      <c r="F118" t="str">
        <v>Registration System</v>
      </c>
      <c r="G118" t="str">
        <v>P1 - Critical</v>
      </c>
      <c r="H118" t="str">
        <v>BL_20260821</v>
      </c>
      <c r="I118" t="str">
        <v>BEFORE</v>
      </c>
    </row>
    <row r="119" spans="1:9">
      <c r="A119" t="str">
        <v>T118</v>
      </c>
      <c r="B119" t="str">
        <v>P059</v>
      </c>
      <c r="C119" t="str">
        <v>https://online.pmb.widyatama.ac.id/register/sps</v>
      </c>
      <c r="D119" t="str">
        <v>desktop</v>
      </c>
      <c r="E119" t="str">
        <v>Registration System</v>
      </c>
      <c r="F119" t="str">
        <v>Registration System</v>
      </c>
      <c r="G119" t="str">
        <v>P1 - Critical</v>
      </c>
      <c r="H119" t="str">
        <v>BL_20260821</v>
      </c>
      <c r="I119" t="str">
        <v>BEFORE</v>
      </c>
    </row>
    <row r="120" spans="1:9">
      <c r="A120" t="str">
        <v>T119</v>
      </c>
      <c r="B120" t="str">
        <v>P060</v>
      </c>
      <c r="C120" t="str">
        <v>https://pmb.widyatama.ac.id/jalur-seleksi-mahasiswa-asing-international/</v>
      </c>
      <c r="D120" t="str">
        <v>mobile</v>
      </c>
      <c r="E120" t="str">
        <v>Admission</v>
      </c>
      <c r="F120" t="str">
        <v>Core PMB Website</v>
      </c>
      <c r="G120" t="str">
        <v>P1 - Critical</v>
      </c>
      <c r="H120" t="str">
        <v>BL_20260821</v>
      </c>
      <c r="I120" t="str">
        <v>BEFORE</v>
      </c>
    </row>
    <row r="121" spans="1:9">
      <c r="A121" t="str">
        <v>T120</v>
      </c>
      <c r="B121" t="str">
        <v>P060</v>
      </c>
      <c r="C121" t="str">
        <v>https://pmb.widyatama.ac.id/jalur-seleksi-mahasiswa-asing-international/</v>
      </c>
      <c r="D121" t="str">
        <v>desktop</v>
      </c>
      <c r="E121" t="str">
        <v>Admission</v>
      </c>
      <c r="F121" t="str">
        <v>Core PMB Website</v>
      </c>
      <c r="G121" t="str">
        <v>P1 - Critical</v>
      </c>
      <c r="H121" t="str">
        <v>BL_20260821</v>
      </c>
      <c r="I121" t="str">
        <v>BEFORE</v>
      </c>
    </row>
    <row r="122" spans="1:9">
      <c r="A122" t="str">
        <v>T121</v>
      </c>
      <c r="B122" t="str">
        <v>P061</v>
      </c>
      <c r="C122" t="str">
        <v>https://pmb.widyatama.ac.id/program-studi/teknik-mesin-s1/</v>
      </c>
      <c r="D122" t="str">
        <v>mobile</v>
      </c>
      <c r="E122" t="str">
        <v>Program</v>
      </c>
      <c r="F122" t="str">
        <v>Core PMB Website</v>
      </c>
      <c r="G122" t="str">
        <v>P1 - Critical</v>
      </c>
      <c r="H122" t="str">
        <v>BL_20260821</v>
      </c>
      <c r="I122" t="str">
        <v>BEFORE</v>
      </c>
    </row>
    <row r="123" spans="1:9">
      <c r="A123" t="str">
        <v>T122</v>
      </c>
      <c r="B123" t="str">
        <v>P061</v>
      </c>
      <c r="C123" t="str">
        <v>https://pmb.widyatama.ac.id/program-studi/teknik-mesin-s1/</v>
      </c>
      <c r="D123" t="str">
        <v>desktop</v>
      </c>
      <c r="E123" t="str">
        <v>Program</v>
      </c>
      <c r="F123" t="str">
        <v>Core PMB Website</v>
      </c>
      <c r="G123" t="str">
        <v>P1 - Critical</v>
      </c>
      <c r="H123" t="str">
        <v>BL_20260821</v>
      </c>
      <c r="I123" t="str">
        <v>BEFORE</v>
      </c>
    </row>
    <row r="124" spans="1:9">
      <c r="A124" t="str">
        <v>T123</v>
      </c>
      <c r="B124" t="str">
        <v>P062</v>
      </c>
      <c r="C124" t="str">
        <v>https://pmb.widyatama.ac.id/program-studi/branding-design-strategy-d4/</v>
      </c>
      <c r="D124" t="str">
        <v>mobile</v>
      </c>
      <c r="E124" t="str">
        <v>Program</v>
      </c>
      <c r="F124" t="str">
        <v>Core PMB Website</v>
      </c>
      <c r="G124" t="str">
        <v>P1 - Critical</v>
      </c>
      <c r="H124" t="str">
        <v>BL_20260821</v>
      </c>
      <c r="I124" t="str">
        <v>BEFORE</v>
      </c>
    </row>
    <row r="125" spans="1:9">
      <c r="A125" t="str">
        <v>T124</v>
      </c>
      <c r="B125" t="str">
        <v>P062</v>
      </c>
      <c r="C125" t="str">
        <v>https://pmb.widyatama.ac.id/program-studi/branding-design-strategy-d4/</v>
      </c>
      <c r="D125" t="str">
        <v>desktop</v>
      </c>
      <c r="E125" t="str">
        <v>Program</v>
      </c>
      <c r="F125" t="str">
        <v>Core PMB Website</v>
      </c>
      <c r="G125" t="str">
        <v>P1 - Critical</v>
      </c>
      <c r="H125" t="str">
        <v>BL_20260821</v>
      </c>
      <c r="I125" t="str">
        <v>BEFORE</v>
      </c>
    </row>
    <row r="126" spans="1:9">
      <c r="A126" t="str">
        <v>T125</v>
      </c>
      <c r="B126" t="str">
        <v>P063</v>
      </c>
      <c r="C126" t="str">
        <v>https://pmb.widyatama.ac.id/program-studi/bahasa-jepang-s1/</v>
      </c>
      <c r="D126" t="str">
        <v>mobile</v>
      </c>
      <c r="E126" t="str">
        <v>Program</v>
      </c>
      <c r="F126" t="str">
        <v>Core PMB Website</v>
      </c>
      <c r="G126" t="str">
        <v>P1 - Critical</v>
      </c>
      <c r="H126" t="str">
        <v>BL_20260821</v>
      </c>
      <c r="I126" t="str">
        <v>BEFORE</v>
      </c>
    </row>
    <row r="127" spans="1:9">
      <c r="A127" t="str">
        <v>T126</v>
      </c>
      <c r="B127" t="str">
        <v>P063</v>
      </c>
      <c r="C127" t="str">
        <v>https://pmb.widyatama.ac.id/program-studi/bahasa-jepang-s1/</v>
      </c>
      <c r="D127" t="str">
        <v>desktop</v>
      </c>
      <c r="E127" t="str">
        <v>Program</v>
      </c>
      <c r="F127" t="str">
        <v>Core PMB Website</v>
      </c>
      <c r="G127" t="str">
        <v>P1 - Critical</v>
      </c>
      <c r="H127" t="str">
        <v>BL_20260821</v>
      </c>
      <c r="I127" t="str">
        <v>BEFORE</v>
      </c>
    </row>
    <row r="128" spans="1:9">
      <c r="A128" t="str">
        <v>T127</v>
      </c>
      <c r="B128" t="str">
        <v>P064</v>
      </c>
      <c r="C128" t="str">
        <v>https://pmb.widyatama.ac.id/program-studi/japanese-for-business-and-tourism-d3/</v>
      </c>
      <c r="D128" t="str">
        <v>mobile</v>
      </c>
      <c r="E128" t="str">
        <v>Program</v>
      </c>
      <c r="F128" t="str">
        <v>Core PMB Website</v>
      </c>
      <c r="G128" t="str">
        <v>P1 - Critical</v>
      </c>
      <c r="H128" t="str">
        <v>BL_20260821</v>
      </c>
      <c r="I128" t="str">
        <v>BEFORE</v>
      </c>
    </row>
    <row r="129" spans="1:9">
      <c r="A129" t="str">
        <v>T128</v>
      </c>
      <c r="B129" t="str">
        <v>P064</v>
      </c>
      <c r="C129" t="str">
        <v>https://pmb.widyatama.ac.id/program-studi/japanese-for-business-and-tourism-d3/</v>
      </c>
      <c r="D129" t="str">
        <v>desktop</v>
      </c>
      <c r="E129" t="str">
        <v>Program</v>
      </c>
      <c r="F129" t="str">
        <v>Core PMB Website</v>
      </c>
      <c r="G129" t="str">
        <v>P1 - Critical</v>
      </c>
      <c r="H129" t="str">
        <v>BL_20260821</v>
      </c>
      <c r="I129" t="str">
        <v>BEFORE</v>
      </c>
    </row>
    <row r="130" spans="1:9">
      <c r="A130" t="str">
        <v>T129</v>
      </c>
      <c r="B130" t="str">
        <v>P065</v>
      </c>
      <c r="C130" t="str">
        <v>https://pmb.widyatama.ac.id/program-studi/teknik-sipil-s1/</v>
      </c>
      <c r="D130" t="str">
        <v>mobile</v>
      </c>
      <c r="E130" t="str">
        <v>Program</v>
      </c>
      <c r="F130" t="str">
        <v>Core PMB Website</v>
      </c>
      <c r="G130" t="str">
        <v>P1 - Critical</v>
      </c>
      <c r="H130" t="str">
        <v>BL_20260821</v>
      </c>
      <c r="I130" t="str">
        <v>BEFORE</v>
      </c>
    </row>
    <row r="131" spans="1:9">
      <c r="A131" t="str">
        <v>T130</v>
      </c>
      <c r="B131" t="str">
        <v>P065</v>
      </c>
      <c r="C131" t="str">
        <v>https://pmb.widyatama.ac.id/program-studi/teknik-sipil-s1/</v>
      </c>
      <c r="D131" t="str">
        <v>desktop</v>
      </c>
      <c r="E131" t="str">
        <v>Program</v>
      </c>
      <c r="F131" t="str">
        <v>Core PMB Website</v>
      </c>
      <c r="G131" t="str">
        <v>P1 - Critical</v>
      </c>
      <c r="H131" t="str">
        <v>BL_20260821</v>
      </c>
      <c r="I131" t="str">
        <v>BEFORE</v>
      </c>
    </row>
    <row r="132" spans="1:9">
      <c r="A132" t="str">
        <v>T131</v>
      </c>
      <c r="B132" t="str">
        <v>P066</v>
      </c>
      <c r="C132" t="str">
        <v>https://pmb.widyatama.ac.id/program-studi/manajemen-sumber-daya-manusia-s1/</v>
      </c>
      <c r="D132" t="str">
        <v>mobile</v>
      </c>
      <c r="E132" t="str">
        <v>Program</v>
      </c>
      <c r="F132" t="str">
        <v>Core PMB Website</v>
      </c>
      <c r="G132" t="str">
        <v>P1 - Critical</v>
      </c>
      <c r="H132" t="str">
        <v>BL_20260821</v>
      </c>
      <c r="I132" t="str">
        <v>BEFORE</v>
      </c>
    </row>
    <row r="133" spans="1:9">
      <c r="A133" t="str">
        <v>T132</v>
      </c>
      <c r="B133" t="str">
        <v>P066</v>
      </c>
      <c r="C133" t="str">
        <v>https://pmb.widyatama.ac.id/program-studi/manajemen-sumber-daya-manusia-s1/</v>
      </c>
      <c r="D133" t="str">
        <v>desktop</v>
      </c>
      <c r="E133" t="str">
        <v>Program</v>
      </c>
      <c r="F133" t="str">
        <v>Core PMB Website</v>
      </c>
      <c r="G133" t="str">
        <v>P1 - Critical</v>
      </c>
      <c r="H133" t="str">
        <v>BL_20260821</v>
      </c>
      <c r="I133" t="str">
        <v>BEFORE</v>
      </c>
    </row>
    <row r="134" spans="1:9">
      <c r="A134" t="str">
        <v>T133</v>
      </c>
      <c r="B134" t="str">
        <v>P067</v>
      </c>
      <c r="C134" t="str">
        <v>https://pmb.widyatama.ac.id/program-studi/manajemen-operasional-s1/</v>
      </c>
      <c r="D134" t="str">
        <v>mobile</v>
      </c>
      <c r="E134" t="str">
        <v>Program</v>
      </c>
      <c r="F134" t="str">
        <v>Core PMB Website</v>
      </c>
      <c r="G134" t="str">
        <v>P1 - Critical</v>
      </c>
      <c r="H134" t="str">
        <v>BL_20260821</v>
      </c>
      <c r="I134" t="str">
        <v>BEFORE</v>
      </c>
    </row>
    <row r="135" spans="1:9">
      <c r="A135" t="str">
        <v>T134</v>
      </c>
      <c r="B135" t="str">
        <v>P067</v>
      </c>
      <c r="C135" t="str">
        <v>https://pmb.widyatama.ac.id/program-studi/manajemen-operasional-s1/</v>
      </c>
      <c r="D135" t="str">
        <v>desktop</v>
      </c>
      <c r="E135" t="str">
        <v>Program</v>
      </c>
      <c r="F135" t="str">
        <v>Core PMB Website</v>
      </c>
      <c r="G135" t="str">
        <v>P1 - Critical</v>
      </c>
      <c r="H135" t="str">
        <v>BL_20260821</v>
      </c>
      <c r="I135" t="str">
        <v>BEFORE</v>
      </c>
    </row>
    <row r="136" spans="1:9">
      <c r="A136" t="str">
        <v>T135</v>
      </c>
      <c r="B136" t="str">
        <v>P068</v>
      </c>
      <c r="C136" t="str">
        <v>https://pmb.widyatama.ac.id/program-studi/manajemen-kewirausahaan-s1/</v>
      </c>
      <c r="D136" t="str">
        <v>mobile</v>
      </c>
      <c r="E136" t="str">
        <v>Program</v>
      </c>
      <c r="F136" t="str">
        <v>Core PMB Website</v>
      </c>
      <c r="G136" t="str">
        <v>P1 - Critical</v>
      </c>
      <c r="H136" t="str">
        <v>BL_20260821</v>
      </c>
      <c r="I136" t="str">
        <v>BEFORE</v>
      </c>
    </row>
    <row r="137" spans="1:9">
      <c r="A137" t="str">
        <v>T136</v>
      </c>
      <c r="B137" t="str">
        <v>P068</v>
      </c>
      <c r="C137" t="str">
        <v>https://pmb.widyatama.ac.id/program-studi/manajemen-kewirausahaan-s1/</v>
      </c>
      <c r="D137" t="str">
        <v>desktop</v>
      </c>
      <c r="E137" t="str">
        <v>Program</v>
      </c>
      <c r="F137" t="str">
        <v>Core PMB Website</v>
      </c>
      <c r="G137" t="str">
        <v>P1 - Critical</v>
      </c>
      <c r="H137" t="str">
        <v>BL_20260821</v>
      </c>
      <c r="I137" t="str">
        <v>BEFORE</v>
      </c>
    </row>
    <row r="138" spans="1:9">
      <c r="A138" t="str">
        <v>T137</v>
      </c>
      <c r="B138" t="str">
        <v>P069</v>
      </c>
      <c r="C138" t="str">
        <v>https://pmb.widyatama.ac.id/program-studi/teknik-industri-s1/</v>
      </c>
      <c r="D138" t="str">
        <v>mobile</v>
      </c>
      <c r="E138" t="str">
        <v>Program</v>
      </c>
      <c r="F138" t="str">
        <v>Core PMB Website</v>
      </c>
      <c r="G138" t="str">
        <v>P1 - Critical</v>
      </c>
      <c r="H138" t="str">
        <v>BL_20260821</v>
      </c>
      <c r="I138" t="str">
        <v>BEFORE</v>
      </c>
    </row>
    <row r="139" spans="1:9">
      <c r="A139" t="str">
        <v>T138</v>
      </c>
      <c r="B139" t="str">
        <v>P069</v>
      </c>
      <c r="C139" t="str">
        <v>https://pmb.widyatama.ac.id/program-studi/teknik-industri-s1/</v>
      </c>
      <c r="D139" t="str">
        <v>desktop</v>
      </c>
      <c r="E139" t="str">
        <v>Program</v>
      </c>
      <c r="F139" t="str">
        <v>Core PMB Website</v>
      </c>
      <c r="G139" t="str">
        <v>P1 - Critical</v>
      </c>
      <c r="H139" t="str">
        <v>BL_20260821</v>
      </c>
      <c r="I139" t="str">
        <v>BEFORE</v>
      </c>
    </row>
    <row r="140" spans="1:9">
      <c r="A140" t="str">
        <v>T139</v>
      </c>
      <c r="B140" t="str">
        <v>P070</v>
      </c>
      <c r="C140" t="str">
        <v>https://pmb.widyatama.ac.id/program-studi/manajemen-keuangan-s1/</v>
      </c>
      <c r="D140" t="str">
        <v>mobile</v>
      </c>
      <c r="E140" t="str">
        <v>Program</v>
      </c>
      <c r="F140" t="str">
        <v>Core PMB Website</v>
      </c>
      <c r="G140" t="str">
        <v>P1 - Critical</v>
      </c>
      <c r="H140" t="str">
        <v>BL_20260821</v>
      </c>
      <c r="I140" t="str">
        <v>BEFORE</v>
      </c>
    </row>
    <row r="141" spans="1:9">
      <c r="A141" t="str">
        <v>T140</v>
      </c>
      <c r="B141" t="str">
        <v>P070</v>
      </c>
      <c r="C141" t="str">
        <v>https://pmb.widyatama.ac.id/program-studi/manajemen-keuangan-s1/</v>
      </c>
      <c r="D141" t="str">
        <v>desktop</v>
      </c>
      <c r="E141" t="str">
        <v>Program</v>
      </c>
      <c r="F141" t="str">
        <v>Core PMB Website</v>
      </c>
      <c r="G141" t="str">
        <v>P1 - Critical</v>
      </c>
      <c r="H141" t="str">
        <v>BL_20260821</v>
      </c>
      <c r="I141" t="str">
        <v>BEFORE</v>
      </c>
    </row>
    <row r="142" spans="1:9">
      <c r="A142" t="str">
        <v>T141</v>
      </c>
      <c r="B142" t="str">
        <v>P071</v>
      </c>
      <c r="C142" t="str">
        <v>https://pmb.widyatama.ac.id/program-studi/sistem-informasi-s1/</v>
      </c>
      <c r="D142" t="str">
        <v>mobile</v>
      </c>
      <c r="E142" t="str">
        <v>Program</v>
      </c>
      <c r="F142" t="str">
        <v>Core PMB Website</v>
      </c>
      <c r="G142" t="str">
        <v>P1 - Critical</v>
      </c>
      <c r="H142" t="str">
        <v>BL_20260821</v>
      </c>
      <c r="I142" t="str">
        <v>BEFORE</v>
      </c>
    </row>
    <row r="143" spans="1:9">
      <c r="A143" t="str">
        <v>T142</v>
      </c>
      <c r="B143" t="str">
        <v>P071</v>
      </c>
      <c r="C143" t="str">
        <v>https://pmb.widyatama.ac.id/program-studi/sistem-informasi-s1/</v>
      </c>
      <c r="D143" t="str">
        <v>desktop</v>
      </c>
      <c r="E143" t="str">
        <v>Program</v>
      </c>
      <c r="F143" t="str">
        <v>Core PMB Website</v>
      </c>
      <c r="G143" t="str">
        <v>P1 - Critical</v>
      </c>
      <c r="H143" t="str">
        <v>BL_20260821</v>
      </c>
      <c r="I143" t="str">
        <v>BEFORE</v>
      </c>
    </row>
    <row r="144" spans="1:9">
      <c r="A144" t="str">
        <v>T143</v>
      </c>
      <c r="B144" t="str">
        <v>P072</v>
      </c>
      <c r="C144" t="str">
        <v>https://pmb.widyatama.ac.id/program-studi/teknik-informatika-s1/</v>
      </c>
      <c r="D144" t="str">
        <v>mobile</v>
      </c>
      <c r="E144" t="str">
        <v>Program</v>
      </c>
      <c r="F144" t="str">
        <v>Core PMB Website</v>
      </c>
      <c r="G144" t="str">
        <v>P1 - Critical</v>
      </c>
      <c r="H144" t="str">
        <v>BL_20260821</v>
      </c>
      <c r="I144" t="str">
        <v>BEFORE</v>
      </c>
    </row>
    <row r="145" spans="1:9">
      <c r="A145" t="str">
        <v>T144</v>
      </c>
      <c r="B145" t="str">
        <v>P072</v>
      </c>
      <c r="C145" t="str">
        <v>https://pmb.widyatama.ac.id/program-studi/teknik-informatika-s1/</v>
      </c>
      <c r="D145" t="str">
        <v>desktop</v>
      </c>
      <c r="E145" t="str">
        <v>Program</v>
      </c>
      <c r="F145" t="str">
        <v>Core PMB Website</v>
      </c>
      <c r="G145" t="str">
        <v>P1 - Critical</v>
      </c>
      <c r="H145" t="str">
        <v>BL_20260821</v>
      </c>
      <c r="I145" t="str">
        <v>BEFORE</v>
      </c>
    </row>
    <row r="146" spans="1:9">
      <c r="A146" t="str">
        <v>T145</v>
      </c>
      <c r="B146" t="str">
        <v>P073</v>
      </c>
      <c r="C146" t="str">
        <v>https://pmb.widyatama.ac.id/program-studi/akuntansi-s1/</v>
      </c>
      <c r="D146" t="str">
        <v>mobile</v>
      </c>
      <c r="E146" t="str">
        <v>Program</v>
      </c>
      <c r="F146" t="str">
        <v>Core PMB Website</v>
      </c>
      <c r="G146" t="str">
        <v>P1 - Critical</v>
      </c>
      <c r="H146" t="str">
        <v>BL_20260821</v>
      </c>
      <c r="I146" t="str">
        <v>BEFORE</v>
      </c>
    </row>
    <row r="147" spans="1:9">
      <c r="A147" t="str">
        <v>T146</v>
      </c>
      <c r="B147" t="str">
        <v>P073</v>
      </c>
      <c r="C147" t="str">
        <v>https://pmb.widyatama.ac.id/program-studi/akuntansi-s1/</v>
      </c>
      <c r="D147" t="str">
        <v>desktop</v>
      </c>
      <c r="E147" t="str">
        <v>Program</v>
      </c>
      <c r="F147" t="str">
        <v>Core PMB Website</v>
      </c>
      <c r="G147" t="str">
        <v>P1 - Critical</v>
      </c>
      <c r="H147" t="str">
        <v>BL_20260821</v>
      </c>
      <c r="I147" t="str">
        <v>BEFORE</v>
      </c>
    </row>
    <row r="148" spans="1:9">
      <c r="A148" t="str">
        <v>T147</v>
      </c>
      <c r="B148" t="str">
        <v>P074</v>
      </c>
      <c r="C148" t="str">
        <v>https://pmb.widyatama.ac.id/program-studi/creative-business-management-d3/</v>
      </c>
      <c r="D148" t="str">
        <v>mobile</v>
      </c>
      <c r="E148" t="str">
        <v>Program</v>
      </c>
      <c r="F148" t="str">
        <v>Core PMB Website</v>
      </c>
      <c r="G148" t="str">
        <v>P1 - Critical</v>
      </c>
      <c r="H148" t="str">
        <v>BL_20260821</v>
      </c>
      <c r="I148" t="str">
        <v>BEFORE</v>
      </c>
    </row>
    <row r="149" spans="1:9">
      <c r="A149" t="str">
        <v>T148</v>
      </c>
      <c r="B149" t="str">
        <v>P074</v>
      </c>
      <c r="C149" t="str">
        <v>https://pmb.widyatama.ac.id/program-studi/creative-business-management-d3/</v>
      </c>
      <c r="D149" t="str">
        <v>desktop</v>
      </c>
      <c r="E149" t="str">
        <v>Program</v>
      </c>
      <c r="F149" t="str">
        <v>Core PMB Website</v>
      </c>
      <c r="G149" t="str">
        <v>P1 - Critical</v>
      </c>
      <c r="H149" t="str">
        <v>BL_20260821</v>
      </c>
      <c r="I149" t="str">
        <v>BEFORE</v>
      </c>
    </row>
    <row r="150" spans="1:9">
      <c r="A150" t="str">
        <v>T149</v>
      </c>
      <c r="B150" t="str">
        <v>P075</v>
      </c>
      <c r="C150" t="str">
        <v>https://pmb.widyatama.ac.id/program-studi/film-and-television-production-d4/</v>
      </c>
      <c r="D150" t="str">
        <v>mobile</v>
      </c>
      <c r="E150" t="str">
        <v>Program</v>
      </c>
      <c r="F150" t="str">
        <v>Core PMB Website</v>
      </c>
      <c r="G150" t="str">
        <v>P1 - Critical</v>
      </c>
      <c r="H150" t="str">
        <v>BL_20260821</v>
      </c>
      <c r="I150" t="str">
        <v>BEFORE</v>
      </c>
    </row>
    <row r="151" spans="1:9">
      <c r="A151" t="str">
        <v>T150</v>
      </c>
      <c r="B151" t="str">
        <v>P075</v>
      </c>
      <c r="C151" t="str">
        <v>https://pmb.widyatama.ac.id/program-studi/film-and-television-production-d4/</v>
      </c>
      <c r="D151" t="str">
        <v>desktop</v>
      </c>
      <c r="E151" t="str">
        <v>Program</v>
      </c>
      <c r="F151" t="str">
        <v>Core PMB Website</v>
      </c>
      <c r="G151" t="str">
        <v>P1 - Critical</v>
      </c>
      <c r="H151" t="str">
        <v>BL_20260821</v>
      </c>
      <c r="I151" t="str">
        <v>BEFORE</v>
      </c>
    </row>
    <row r="152" spans="1:9">
      <c r="A152" t="str">
        <v>T151</v>
      </c>
      <c r="B152" t="str">
        <v>P076</v>
      </c>
      <c r="C152" t="str">
        <v>https://pmb.widyatama.ac.id/program-studi/manajemen-pemasaran-s1/</v>
      </c>
      <c r="D152" t="str">
        <v>mobile</v>
      </c>
      <c r="E152" t="str">
        <v>Program</v>
      </c>
      <c r="F152" t="str">
        <v>Core PMB Website</v>
      </c>
      <c r="G152" t="str">
        <v>P1 - Critical</v>
      </c>
      <c r="H152" t="str">
        <v>BL_20260821</v>
      </c>
      <c r="I152" t="str">
        <v>BEFORE</v>
      </c>
    </row>
    <row r="153" spans="1:9">
      <c r="A153" t="str">
        <v>T152</v>
      </c>
      <c r="B153" t="str">
        <v>P076</v>
      </c>
      <c r="C153" t="str">
        <v>https://pmb.widyatama.ac.id/program-studi/manajemen-pemasaran-s1/</v>
      </c>
      <c r="D153" t="str">
        <v>desktop</v>
      </c>
      <c r="E153" t="str">
        <v>Program</v>
      </c>
      <c r="F153" t="str">
        <v>Core PMB Website</v>
      </c>
      <c r="G153" t="str">
        <v>P1 - Critical</v>
      </c>
      <c r="H153" t="str">
        <v>BL_20260821</v>
      </c>
      <c r="I153" t="str">
        <v>BEFORE</v>
      </c>
    </row>
    <row r="154" spans="1:9">
      <c r="A154" t="str">
        <v>T153</v>
      </c>
      <c r="B154" t="str">
        <v>P077</v>
      </c>
      <c r="C154" t="str">
        <v>https://pmb.widyatama.ac.id/program-studi/perpustakaan-sains-informasi-s1/</v>
      </c>
      <c r="D154" t="str">
        <v>mobile</v>
      </c>
      <c r="E154" t="str">
        <v>Program</v>
      </c>
      <c r="F154" t="str">
        <v>Core PMB Website</v>
      </c>
      <c r="G154" t="str">
        <v>P1 - Critical</v>
      </c>
      <c r="H154" t="str">
        <v>BL_20260821</v>
      </c>
      <c r="I154" t="str">
        <v>BEFORE</v>
      </c>
    </row>
    <row r="155" spans="1:9">
      <c r="A155" t="str">
        <v>T154</v>
      </c>
      <c r="B155" t="str">
        <v>P077</v>
      </c>
      <c r="C155" t="str">
        <v>https://pmb.widyatama.ac.id/program-studi/perpustakaan-sains-informasi-s1/</v>
      </c>
      <c r="D155" t="str">
        <v>desktop</v>
      </c>
      <c r="E155" t="str">
        <v>Program</v>
      </c>
      <c r="F155" t="str">
        <v>Core PMB Website</v>
      </c>
      <c r="G155" t="str">
        <v>P1 - Critical</v>
      </c>
      <c r="H155" t="str">
        <v>BL_20260821</v>
      </c>
      <c r="I155" t="str">
        <v>BEFORE</v>
      </c>
    </row>
    <row r="156" spans="1:9">
      <c r="A156" t="str">
        <v>T155</v>
      </c>
      <c r="B156" t="str">
        <v>P078</v>
      </c>
      <c r="C156" t="str">
        <v>https://pmb.widyatama.ac.id/program-studi/bahasa-inggris-s1/</v>
      </c>
      <c r="D156" t="str">
        <v>mobile</v>
      </c>
      <c r="E156" t="str">
        <v>Program</v>
      </c>
      <c r="F156" t="str">
        <v>Core PMB Website</v>
      </c>
      <c r="G156" t="str">
        <v>P1 - Critical</v>
      </c>
      <c r="H156" t="str">
        <v>BL_20260821</v>
      </c>
      <c r="I156" t="str">
        <v>BEFORE</v>
      </c>
    </row>
    <row r="157" spans="1:9">
      <c r="A157" t="str">
        <v>T156</v>
      </c>
      <c r="B157" t="str">
        <v>P078</v>
      </c>
      <c r="C157" t="str">
        <v>https://pmb.widyatama.ac.id/program-studi/bahasa-inggris-s1/</v>
      </c>
      <c r="D157" t="str">
        <v>desktop</v>
      </c>
      <c r="E157" t="str">
        <v>Program</v>
      </c>
      <c r="F157" t="str">
        <v>Core PMB Website</v>
      </c>
      <c r="G157" t="str">
        <v>P1 - Critical</v>
      </c>
      <c r="H157" t="str">
        <v>BL_20260821</v>
      </c>
      <c r="I157" t="str">
        <v>BEFORE</v>
      </c>
    </row>
    <row r="158" spans="1:9">
      <c r="A158" t="str">
        <v>T157</v>
      </c>
      <c r="B158" t="str">
        <v>P079</v>
      </c>
      <c r="C158" t="str">
        <v>https://pmb.widyatama.ac.id/program-studi/digital-accounting-d3/</v>
      </c>
      <c r="D158" t="str">
        <v>mobile</v>
      </c>
      <c r="E158" t="str">
        <v>Program</v>
      </c>
      <c r="F158" t="str">
        <v>Core PMB Website</v>
      </c>
      <c r="G158" t="str">
        <v>P1 - Critical</v>
      </c>
      <c r="H158" t="str">
        <v>BL_20260821</v>
      </c>
      <c r="I158" t="str">
        <v>BEFORE</v>
      </c>
    </row>
    <row r="159" spans="1:9">
      <c r="A159" t="str">
        <v>T158</v>
      </c>
      <c r="B159" t="str">
        <v>P079</v>
      </c>
      <c r="C159" t="str">
        <v>https://pmb.widyatama.ac.id/program-studi/digital-accounting-d3/</v>
      </c>
      <c r="D159" t="str">
        <v>desktop</v>
      </c>
      <c r="E159" t="str">
        <v>Program</v>
      </c>
      <c r="F159" t="str">
        <v>Core PMB Website</v>
      </c>
      <c r="G159" t="str">
        <v>P1 - Critical</v>
      </c>
      <c r="H159" t="str">
        <v>BL_20260821</v>
      </c>
      <c r="I159" t="str">
        <v>BEFORE</v>
      </c>
    </row>
    <row r="160" spans="1:9">
      <c r="A160" t="str">
        <v>T159</v>
      </c>
      <c r="B160" t="str">
        <v>P080</v>
      </c>
      <c r="C160" t="str">
        <v>https://pmb.widyatama.ac.id/program-studi/teknik-elektro-s1/</v>
      </c>
      <c r="D160" t="str">
        <v>mobile</v>
      </c>
      <c r="E160" t="str">
        <v>Program</v>
      </c>
      <c r="F160" t="str">
        <v>Core PMB Website</v>
      </c>
      <c r="G160" t="str">
        <v>P1 - Critical</v>
      </c>
      <c r="H160" t="str">
        <v>BL_20260821</v>
      </c>
      <c r="I160" t="str">
        <v>BEFORE</v>
      </c>
    </row>
    <row r="161" spans="1:9">
      <c r="A161" t="str">
        <v>T160</v>
      </c>
      <c r="B161" t="str">
        <v>P080</v>
      </c>
      <c r="C161" t="str">
        <v>https://pmb.widyatama.ac.id/program-studi/teknik-elektro-s1/</v>
      </c>
      <c r="D161" t="str">
        <v>desktop</v>
      </c>
      <c r="E161" t="str">
        <v>Program</v>
      </c>
      <c r="F161" t="str">
        <v>Core PMB Website</v>
      </c>
      <c r="G161" t="str">
        <v>P1 - Critical</v>
      </c>
      <c r="H161" t="str">
        <v>BL_20260821</v>
      </c>
      <c r="I161" t="str">
        <v>BEFORE</v>
      </c>
    </row>
    <row r="162" spans="1:9">
      <c r="A162" t="str">
        <v>T161</v>
      </c>
      <c r="B162" t="str">
        <v>P081</v>
      </c>
      <c r="C162" t="str">
        <v>https://online.pmb.widyatama.ac.id/hasil</v>
      </c>
      <c r="D162" t="str">
        <v>mobile</v>
      </c>
      <c r="E162" t="str">
        <v>Registration System</v>
      </c>
      <c r="F162" t="str">
        <v>Registration System</v>
      </c>
      <c r="G162" t="str">
        <v>P1 - Critical</v>
      </c>
      <c r="H162" t="str">
        <v>BL_20260821</v>
      </c>
      <c r="I162" t="str">
        <v>BEFORE</v>
      </c>
    </row>
    <row r="163" spans="1:9">
      <c r="A163" t="str">
        <v>T162</v>
      </c>
      <c r="B163" t="str">
        <v>P081</v>
      </c>
      <c r="C163" t="str">
        <v>https://online.pmb.widyatama.ac.id/hasil</v>
      </c>
      <c r="D163" t="str">
        <v>desktop</v>
      </c>
      <c r="E163" t="str">
        <v>Registration System</v>
      </c>
      <c r="F163" t="str">
        <v>Registration System</v>
      </c>
      <c r="G163" t="str">
        <v>P1 - Critical</v>
      </c>
      <c r="H163" t="str">
        <v>BL_20260821</v>
      </c>
      <c r="I163" t="str">
        <v>BEFORE</v>
      </c>
    </row>
    <row r="164" spans="1:9">
      <c r="A164" t="str">
        <v>T163</v>
      </c>
      <c r="B164" t="str">
        <v>P082</v>
      </c>
      <c r="C164" t="str">
        <v>https://pmb.widyatama.ac.id/program-studi/interactive-multimedia-d3/</v>
      </c>
      <c r="D164" t="str">
        <v>mobile</v>
      </c>
      <c r="E164" t="str">
        <v>Program</v>
      </c>
      <c r="F164" t="str">
        <v>Core PMB Website</v>
      </c>
      <c r="G164" t="str">
        <v>P1 - Critical</v>
      </c>
      <c r="H164" t="str">
        <v>BL_20260821</v>
      </c>
      <c r="I164" t="str">
        <v>BEFORE</v>
      </c>
    </row>
    <row r="165" spans="1:9">
      <c r="A165" t="str">
        <v>T164</v>
      </c>
      <c r="B165" t="str">
        <v>P082</v>
      </c>
      <c r="C165" t="str">
        <v>https://pmb.widyatama.ac.id/program-studi/interactive-multimedia-d3/</v>
      </c>
      <c r="D165" t="str">
        <v>desktop</v>
      </c>
      <c r="E165" t="str">
        <v>Program</v>
      </c>
      <c r="F165" t="str">
        <v>Core PMB Website</v>
      </c>
      <c r="G165" t="str">
        <v>P1 - Critical</v>
      </c>
      <c r="H165" t="str">
        <v>BL_20260821</v>
      </c>
      <c r="I165" t="str">
        <v>BEFORE</v>
      </c>
    </row>
    <row r="166" spans="1:9">
      <c r="A166" t="str">
        <v>T165</v>
      </c>
      <c r="B166" t="str">
        <v>P083</v>
      </c>
      <c r="C166" t="str">
        <v>https://online.pmb.widyatama.ac.id/auth/forgot_password</v>
      </c>
      <c r="D166" t="str">
        <v>mobile</v>
      </c>
      <c r="E166" t="str">
        <v>Registration System</v>
      </c>
      <c r="F166" t="str">
        <v>Registration System</v>
      </c>
      <c r="G166" t="str">
        <v>P1 - Critical</v>
      </c>
      <c r="H166" t="str">
        <v>BL_20260821</v>
      </c>
      <c r="I166" t="str">
        <v>BEFORE</v>
      </c>
    </row>
    <row r="167" spans="1:9">
      <c r="A167" t="str">
        <v>T166</v>
      </c>
      <c r="B167" t="str">
        <v>P083</v>
      </c>
      <c r="C167" t="str">
        <v>https://online.pmb.widyatama.ac.id/auth/forgot_password</v>
      </c>
      <c r="D167" t="str">
        <v>desktop</v>
      </c>
      <c r="E167" t="str">
        <v>Registration System</v>
      </c>
      <c r="F167" t="str">
        <v>Registration System</v>
      </c>
      <c r="G167" t="str">
        <v>P1 - Critical</v>
      </c>
      <c r="H167" t="str">
        <v>BL_20260821</v>
      </c>
      <c r="I167" t="str">
        <v>BEFORE</v>
      </c>
    </row>
    <row r="168" spans="1:9">
      <c r="A168" t="str">
        <v>T167</v>
      </c>
      <c r="B168" t="str">
        <v>P084</v>
      </c>
      <c r="C168" t="str">
        <v>https://pmb.widyatama.ac.id/category/science-and-technology/</v>
      </c>
      <c r="D168" t="str">
        <v>mobile</v>
      </c>
      <c r="E168" t="str">
        <v>Content Archive</v>
      </c>
      <c r="F168" t="str">
        <v>Core PMB Website</v>
      </c>
      <c r="G168" t="str">
        <v>P3 - Standard</v>
      </c>
      <c r="H168" t="str">
        <v>BL_20260821</v>
      </c>
      <c r="I168" t="str">
        <v>BEFORE</v>
      </c>
    </row>
    <row r="169" spans="1:9">
      <c r="A169" t="str">
        <v>T168</v>
      </c>
      <c r="B169" t="str">
        <v>P084</v>
      </c>
      <c r="C169" t="str">
        <v>https://pmb.widyatama.ac.id/category/science-and-technology/</v>
      </c>
      <c r="D169" t="str">
        <v>desktop</v>
      </c>
      <c r="E169" t="str">
        <v>Content Archive</v>
      </c>
      <c r="F169" t="str">
        <v>Core PMB Website</v>
      </c>
      <c r="G169" t="str">
        <v>P3 - Standard</v>
      </c>
      <c r="H169" t="str">
        <v>BL_20260821</v>
      </c>
      <c r="I169" t="str">
        <v>BEFORE</v>
      </c>
    </row>
    <row r="170" spans="1:9">
      <c r="A170" t="str">
        <v>T169</v>
      </c>
      <c r="B170" t="str">
        <v>P085</v>
      </c>
      <c r="C170" t="str">
        <v>https://pmb.widyatama.ac.id/category/medicine/</v>
      </c>
      <c r="D170" t="str">
        <v>mobile</v>
      </c>
      <c r="E170" t="str">
        <v>Content Archive</v>
      </c>
      <c r="F170" t="str">
        <v>Core PMB Website</v>
      </c>
      <c r="G170" t="str">
        <v>P3 - Standard</v>
      </c>
      <c r="H170" t="str">
        <v>BL_20260821</v>
      </c>
      <c r="I170" t="str">
        <v>BEFORE</v>
      </c>
    </row>
    <row r="171" spans="1:9">
      <c r="A171" t="str">
        <v>T170</v>
      </c>
      <c r="B171" t="str">
        <v>P085</v>
      </c>
      <c r="C171" t="str">
        <v>https://pmb.widyatama.ac.id/category/medicine/</v>
      </c>
      <c r="D171" t="str">
        <v>desktop</v>
      </c>
      <c r="E171" t="str">
        <v>Content Archive</v>
      </c>
      <c r="F171" t="str">
        <v>Core PMB Website</v>
      </c>
      <c r="G171" t="str">
        <v>P3 - Standard</v>
      </c>
      <c r="H171" t="str">
        <v>BL_20260821</v>
      </c>
      <c r="I171" t="str">
        <v>BEFORE</v>
      </c>
    </row>
    <row r="172" spans="1:9">
      <c r="A172" t="str">
        <v>T171</v>
      </c>
      <c r="B172" t="str">
        <v>P086</v>
      </c>
      <c r="C172" t="str">
        <v>https://pmb.widyatama.ac.id/category/law-and-policy/</v>
      </c>
      <c r="D172" t="str">
        <v>mobile</v>
      </c>
      <c r="E172" t="str">
        <v>Content Archive</v>
      </c>
      <c r="F172" t="str">
        <v>Core PMB Website</v>
      </c>
      <c r="G172" t="str">
        <v>P3 - Standard</v>
      </c>
      <c r="H172" t="str">
        <v>BL_20260821</v>
      </c>
      <c r="I172" t="str">
        <v>BEFORE</v>
      </c>
    </row>
    <row r="173" spans="1:9">
      <c r="A173" t="str">
        <v>T172</v>
      </c>
      <c r="B173" t="str">
        <v>P086</v>
      </c>
      <c r="C173" t="str">
        <v>https://pmb.widyatama.ac.id/category/law-and-policy/</v>
      </c>
      <c r="D173" t="str">
        <v>desktop</v>
      </c>
      <c r="E173" t="str">
        <v>Content Archive</v>
      </c>
      <c r="F173" t="str">
        <v>Core PMB Website</v>
      </c>
      <c r="G173" t="str">
        <v>P3 - Standard</v>
      </c>
      <c r="H173" t="str">
        <v>BL_20260821</v>
      </c>
      <c r="I173" t="str">
        <v>BEFORE</v>
      </c>
    </row>
    <row r="174" spans="1:9">
      <c r="A174" t="str">
        <v>T173</v>
      </c>
      <c r="B174" t="str">
        <v>P087</v>
      </c>
      <c r="C174" t="str">
        <v>https://pmb.widyatama.ac.id/2025/09/13/</v>
      </c>
      <c r="D174" t="str">
        <v>mobile</v>
      </c>
      <c r="E174" t="str">
        <v>Content Review</v>
      </c>
      <c r="F174" t="str">
        <v>Content Audit</v>
      </c>
      <c r="G174" t="str">
        <v>P4 - Content Audit</v>
      </c>
      <c r="H174" t="str">
        <v>BL_20260821</v>
      </c>
      <c r="I174" t="str">
        <v>BEFORE</v>
      </c>
    </row>
    <row r="175" spans="1:9">
      <c r="A175" t="str">
        <v>T174</v>
      </c>
      <c r="B175" t="str">
        <v>P087</v>
      </c>
      <c r="C175" t="str">
        <v>https://pmb.widyatama.ac.id/2025/09/13/</v>
      </c>
      <c r="D175" t="str">
        <v>desktop</v>
      </c>
      <c r="E175" t="str">
        <v>Content Review</v>
      </c>
      <c r="F175" t="str">
        <v>Content Audit</v>
      </c>
      <c r="G175" t="str">
        <v>P4 - Content Audit</v>
      </c>
      <c r="H175" t="str">
        <v>BL_20260821</v>
      </c>
      <c r="I175" t="str">
        <v>BEFORE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B3136-9930-48ED-91BB-731EA6A3B5F1}">
  <dimension ref="A1:I175"/>
  <sheetViews>
    <sheetView topLeftCell="F1" workbookViewId="0">
      <selection activeCell="J1" sqref="J1"/>
    </sheetView>
  </sheetViews>
  <sheetFormatPr defaultColWidth="17.5546875" defaultRowHeight="14.4"/>
  <cols>
    <col min="1" max="1" width="8.88671875" customWidth="1"/>
    <col min="2" max="2" width="9.44140625" customWidth="1"/>
    <col min="6" max="6" width="20.5546875" customWidth="1"/>
  </cols>
  <sheetData>
    <row r="1" spans="1:9">
      <c r="A1" t="s">
        <v>881</v>
      </c>
      <c r="B1" t="s">
        <v>734</v>
      </c>
      <c r="C1" t="s">
        <v>709</v>
      </c>
      <c r="D1" t="s">
        <v>882</v>
      </c>
      <c r="E1" t="s">
        <v>739</v>
      </c>
      <c r="F1" t="s">
        <v>740</v>
      </c>
      <c r="G1" t="s">
        <v>742</v>
      </c>
      <c r="H1" t="s">
        <v>876</v>
      </c>
      <c r="I1" t="s">
        <v>878</v>
      </c>
    </row>
    <row r="2" spans="1:9">
      <c r="A2" t="s">
        <v>892</v>
      </c>
      <c r="B2" t="s">
        <v>767</v>
      </c>
      <c r="C2" t="s">
        <v>70</v>
      </c>
      <c r="D2" t="s">
        <v>893</v>
      </c>
      <c r="E2" t="s">
        <v>769</v>
      </c>
      <c r="F2" t="s">
        <v>770</v>
      </c>
      <c r="G2" t="s">
        <v>772</v>
      </c>
      <c r="H2" t="s">
        <v>879</v>
      </c>
      <c r="I2" t="s">
        <v>880</v>
      </c>
    </row>
    <row r="3" spans="1:9">
      <c r="A3" t="s">
        <v>894</v>
      </c>
      <c r="B3" t="s">
        <v>767</v>
      </c>
      <c r="C3" t="s">
        <v>70</v>
      </c>
      <c r="D3" t="s">
        <v>895</v>
      </c>
      <c r="E3" t="s">
        <v>769</v>
      </c>
      <c r="F3" t="s">
        <v>770</v>
      </c>
      <c r="G3" t="s">
        <v>772</v>
      </c>
      <c r="H3" t="s">
        <v>879</v>
      </c>
      <c r="I3" t="s">
        <v>880</v>
      </c>
    </row>
    <row r="4" spans="1:9">
      <c r="A4" t="s">
        <v>896</v>
      </c>
      <c r="B4" t="s">
        <v>773</v>
      </c>
      <c r="C4" t="s">
        <v>96</v>
      </c>
      <c r="D4" t="s">
        <v>893</v>
      </c>
      <c r="E4" t="s">
        <v>774</v>
      </c>
      <c r="F4" t="s">
        <v>770</v>
      </c>
      <c r="G4" t="s">
        <v>772</v>
      </c>
      <c r="H4" t="s">
        <v>879</v>
      </c>
      <c r="I4" t="s">
        <v>880</v>
      </c>
    </row>
    <row r="5" spans="1:9">
      <c r="A5" t="s">
        <v>897</v>
      </c>
      <c r="B5" t="s">
        <v>773</v>
      </c>
      <c r="C5" t="s">
        <v>96</v>
      </c>
      <c r="D5" t="s">
        <v>895</v>
      </c>
      <c r="E5" t="s">
        <v>774</v>
      </c>
      <c r="F5" t="s">
        <v>770</v>
      </c>
      <c r="G5" t="s">
        <v>772</v>
      </c>
      <c r="H5" t="s">
        <v>879</v>
      </c>
      <c r="I5" t="s">
        <v>880</v>
      </c>
    </row>
    <row r="6" spans="1:9">
      <c r="A6" t="s">
        <v>898</v>
      </c>
      <c r="B6" t="s">
        <v>775</v>
      </c>
      <c r="C6" t="s">
        <v>105</v>
      </c>
      <c r="D6" t="s">
        <v>893</v>
      </c>
      <c r="E6" t="s">
        <v>776</v>
      </c>
      <c r="F6" t="s">
        <v>770</v>
      </c>
      <c r="G6" t="s">
        <v>777</v>
      </c>
      <c r="H6" t="s">
        <v>879</v>
      </c>
      <c r="I6" t="s">
        <v>880</v>
      </c>
    </row>
    <row r="7" spans="1:9">
      <c r="A7" t="s">
        <v>899</v>
      </c>
      <c r="B7" t="s">
        <v>775</v>
      </c>
      <c r="C7" t="s">
        <v>105</v>
      </c>
      <c r="D7" t="s">
        <v>895</v>
      </c>
      <c r="E7" t="s">
        <v>776</v>
      </c>
      <c r="F7" t="s">
        <v>770</v>
      </c>
      <c r="G7" t="s">
        <v>777</v>
      </c>
      <c r="H7" t="s">
        <v>879</v>
      </c>
      <c r="I7" t="s">
        <v>880</v>
      </c>
    </row>
    <row r="8" spans="1:9">
      <c r="A8" t="s">
        <v>900</v>
      </c>
      <c r="B8" t="s">
        <v>778</v>
      </c>
      <c r="C8" t="s">
        <v>113</v>
      </c>
      <c r="D8" t="s">
        <v>893</v>
      </c>
      <c r="E8" t="s">
        <v>779</v>
      </c>
      <c r="F8" t="s">
        <v>770</v>
      </c>
      <c r="G8" t="s">
        <v>780</v>
      </c>
      <c r="H8" t="s">
        <v>879</v>
      </c>
      <c r="I8" t="s">
        <v>880</v>
      </c>
    </row>
    <row r="9" spans="1:9">
      <c r="A9" t="s">
        <v>901</v>
      </c>
      <c r="B9" t="s">
        <v>778</v>
      </c>
      <c r="C9" t="s">
        <v>113</v>
      </c>
      <c r="D9" t="s">
        <v>895</v>
      </c>
      <c r="E9" t="s">
        <v>779</v>
      </c>
      <c r="F9" t="s">
        <v>770</v>
      </c>
      <c r="G9" t="s">
        <v>780</v>
      </c>
      <c r="H9" t="s">
        <v>879</v>
      </c>
      <c r="I9" t="s">
        <v>880</v>
      </c>
    </row>
    <row r="10" spans="1:9">
      <c r="A10" t="s">
        <v>902</v>
      </c>
      <c r="B10" t="s">
        <v>781</v>
      </c>
      <c r="C10" t="s">
        <v>121</v>
      </c>
      <c r="D10" t="s">
        <v>893</v>
      </c>
      <c r="E10" t="s">
        <v>779</v>
      </c>
      <c r="F10" t="s">
        <v>770</v>
      </c>
      <c r="G10" t="s">
        <v>780</v>
      </c>
      <c r="H10" t="s">
        <v>879</v>
      </c>
      <c r="I10" t="s">
        <v>880</v>
      </c>
    </row>
    <row r="11" spans="1:9">
      <c r="A11" t="s">
        <v>903</v>
      </c>
      <c r="B11" t="s">
        <v>781</v>
      </c>
      <c r="C11" t="s">
        <v>121</v>
      </c>
      <c r="D11" t="s">
        <v>895</v>
      </c>
      <c r="E11" t="s">
        <v>779</v>
      </c>
      <c r="F11" t="s">
        <v>770</v>
      </c>
      <c r="G11" t="s">
        <v>780</v>
      </c>
      <c r="H11" t="s">
        <v>879</v>
      </c>
      <c r="I11" t="s">
        <v>880</v>
      </c>
    </row>
    <row r="12" spans="1:9">
      <c r="A12" t="s">
        <v>904</v>
      </c>
      <c r="B12" t="s">
        <v>782</v>
      </c>
      <c r="C12" t="s">
        <v>128</v>
      </c>
      <c r="D12" t="s">
        <v>893</v>
      </c>
      <c r="E12" t="s">
        <v>783</v>
      </c>
      <c r="F12" t="s">
        <v>770</v>
      </c>
      <c r="G12" t="s">
        <v>772</v>
      </c>
      <c r="H12" t="s">
        <v>879</v>
      </c>
      <c r="I12" t="s">
        <v>880</v>
      </c>
    </row>
    <row r="13" spans="1:9">
      <c r="A13" t="s">
        <v>905</v>
      </c>
      <c r="B13" t="s">
        <v>782</v>
      </c>
      <c r="C13" t="s">
        <v>128</v>
      </c>
      <c r="D13" t="s">
        <v>895</v>
      </c>
      <c r="E13" t="s">
        <v>783</v>
      </c>
      <c r="F13" t="s">
        <v>770</v>
      </c>
      <c r="G13" t="s">
        <v>772</v>
      </c>
      <c r="H13" t="s">
        <v>879</v>
      </c>
      <c r="I13" t="s">
        <v>880</v>
      </c>
    </row>
    <row r="14" spans="1:9">
      <c r="A14" t="s">
        <v>906</v>
      </c>
      <c r="B14" t="s">
        <v>784</v>
      </c>
      <c r="C14" t="s">
        <v>136</v>
      </c>
      <c r="D14" t="s">
        <v>893</v>
      </c>
      <c r="E14" t="s">
        <v>785</v>
      </c>
      <c r="F14" t="s">
        <v>770</v>
      </c>
      <c r="G14" t="s">
        <v>777</v>
      </c>
      <c r="H14" t="s">
        <v>879</v>
      </c>
      <c r="I14" t="s">
        <v>880</v>
      </c>
    </row>
    <row r="15" spans="1:9">
      <c r="A15" t="s">
        <v>907</v>
      </c>
      <c r="B15" t="s">
        <v>784</v>
      </c>
      <c r="C15" t="s">
        <v>136</v>
      </c>
      <c r="D15" t="s">
        <v>895</v>
      </c>
      <c r="E15" t="s">
        <v>785</v>
      </c>
      <c r="F15" t="s">
        <v>770</v>
      </c>
      <c r="G15" t="s">
        <v>777</v>
      </c>
      <c r="H15" t="s">
        <v>879</v>
      </c>
      <c r="I15" t="s">
        <v>880</v>
      </c>
    </row>
    <row r="16" spans="1:9">
      <c r="A16" t="s">
        <v>908</v>
      </c>
      <c r="B16" t="s">
        <v>786</v>
      </c>
      <c r="C16" t="s">
        <v>144</v>
      </c>
      <c r="D16" t="s">
        <v>893</v>
      </c>
      <c r="E16" t="s">
        <v>776</v>
      </c>
      <c r="F16" t="s">
        <v>770</v>
      </c>
      <c r="G16" t="s">
        <v>777</v>
      </c>
      <c r="H16" t="s">
        <v>879</v>
      </c>
      <c r="I16" t="s">
        <v>880</v>
      </c>
    </row>
    <row r="17" spans="1:9">
      <c r="A17" t="s">
        <v>909</v>
      </c>
      <c r="B17" t="s">
        <v>786</v>
      </c>
      <c r="C17" t="s">
        <v>144</v>
      </c>
      <c r="D17" t="s">
        <v>895</v>
      </c>
      <c r="E17" t="s">
        <v>776</v>
      </c>
      <c r="F17" t="s">
        <v>770</v>
      </c>
      <c r="G17" t="s">
        <v>777</v>
      </c>
      <c r="H17" t="s">
        <v>879</v>
      </c>
      <c r="I17" t="s">
        <v>880</v>
      </c>
    </row>
    <row r="18" spans="1:9">
      <c r="A18" t="s">
        <v>910</v>
      </c>
      <c r="B18" t="s">
        <v>787</v>
      </c>
      <c r="C18" t="s">
        <v>157</v>
      </c>
      <c r="D18" t="s">
        <v>893</v>
      </c>
      <c r="E18" t="s">
        <v>788</v>
      </c>
      <c r="F18" t="s">
        <v>770</v>
      </c>
      <c r="G18" t="s">
        <v>777</v>
      </c>
      <c r="H18" t="s">
        <v>879</v>
      </c>
      <c r="I18" t="s">
        <v>880</v>
      </c>
    </row>
    <row r="19" spans="1:9">
      <c r="A19" t="s">
        <v>911</v>
      </c>
      <c r="B19" t="s">
        <v>787</v>
      </c>
      <c r="C19" t="s">
        <v>157</v>
      </c>
      <c r="D19" t="s">
        <v>895</v>
      </c>
      <c r="E19" t="s">
        <v>788</v>
      </c>
      <c r="F19" t="s">
        <v>770</v>
      </c>
      <c r="G19" t="s">
        <v>777</v>
      </c>
      <c r="H19" t="s">
        <v>879</v>
      </c>
      <c r="I19" t="s">
        <v>880</v>
      </c>
    </row>
    <row r="20" spans="1:9">
      <c r="A20" t="s">
        <v>912</v>
      </c>
      <c r="B20" t="s">
        <v>789</v>
      </c>
      <c r="C20" t="s">
        <v>165</v>
      </c>
      <c r="D20" t="s">
        <v>893</v>
      </c>
      <c r="E20" t="s">
        <v>790</v>
      </c>
      <c r="F20" t="s">
        <v>770</v>
      </c>
      <c r="G20" t="s">
        <v>772</v>
      </c>
      <c r="H20" t="s">
        <v>879</v>
      </c>
      <c r="I20" t="s">
        <v>880</v>
      </c>
    </row>
    <row r="21" spans="1:9">
      <c r="A21" t="s">
        <v>913</v>
      </c>
      <c r="B21" t="s">
        <v>789</v>
      </c>
      <c r="C21" t="s">
        <v>165</v>
      </c>
      <c r="D21" t="s">
        <v>895</v>
      </c>
      <c r="E21" t="s">
        <v>790</v>
      </c>
      <c r="F21" t="s">
        <v>770</v>
      </c>
      <c r="G21" t="s">
        <v>772</v>
      </c>
      <c r="H21" t="s">
        <v>879</v>
      </c>
      <c r="I21" t="s">
        <v>880</v>
      </c>
    </row>
    <row r="22" spans="1:9">
      <c r="A22" t="s">
        <v>914</v>
      </c>
      <c r="B22" t="s">
        <v>791</v>
      </c>
      <c r="C22" t="s">
        <v>173</v>
      </c>
      <c r="D22" t="s">
        <v>893</v>
      </c>
      <c r="E22" t="s">
        <v>783</v>
      </c>
      <c r="F22" t="s">
        <v>770</v>
      </c>
      <c r="G22" t="s">
        <v>772</v>
      </c>
      <c r="H22" t="s">
        <v>879</v>
      </c>
      <c r="I22" t="s">
        <v>880</v>
      </c>
    </row>
    <row r="23" spans="1:9">
      <c r="A23" t="s">
        <v>915</v>
      </c>
      <c r="B23" t="s">
        <v>791</v>
      </c>
      <c r="C23" t="s">
        <v>173</v>
      </c>
      <c r="D23" t="s">
        <v>895</v>
      </c>
      <c r="E23" t="s">
        <v>783</v>
      </c>
      <c r="F23" t="s">
        <v>770</v>
      </c>
      <c r="G23" t="s">
        <v>772</v>
      </c>
      <c r="H23" t="s">
        <v>879</v>
      </c>
      <c r="I23" t="s">
        <v>880</v>
      </c>
    </row>
    <row r="24" spans="1:9">
      <c r="A24" t="s">
        <v>916</v>
      </c>
      <c r="B24" t="s">
        <v>792</v>
      </c>
      <c r="C24" t="s">
        <v>181</v>
      </c>
      <c r="D24" t="s">
        <v>893</v>
      </c>
      <c r="E24" t="s">
        <v>790</v>
      </c>
      <c r="F24" t="s">
        <v>770</v>
      </c>
      <c r="G24" t="s">
        <v>772</v>
      </c>
      <c r="H24" t="s">
        <v>879</v>
      </c>
      <c r="I24" t="s">
        <v>880</v>
      </c>
    </row>
    <row r="25" spans="1:9">
      <c r="A25" t="s">
        <v>917</v>
      </c>
      <c r="B25" t="s">
        <v>792</v>
      </c>
      <c r="C25" t="s">
        <v>181</v>
      </c>
      <c r="D25" t="s">
        <v>895</v>
      </c>
      <c r="E25" t="s">
        <v>790</v>
      </c>
      <c r="F25" t="s">
        <v>770</v>
      </c>
      <c r="G25" t="s">
        <v>772</v>
      </c>
      <c r="H25" t="s">
        <v>879</v>
      </c>
      <c r="I25" t="s">
        <v>880</v>
      </c>
    </row>
    <row r="26" spans="1:9">
      <c r="A26" t="s">
        <v>918</v>
      </c>
      <c r="B26" t="s">
        <v>793</v>
      </c>
      <c r="C26" t="s">
        <v>189</v>
      </c>
      <c r="D26" t="s">
        <v>893</v>
      </c>
      <c r="E26" t="s">
        <v>794</v>
      </c>
      <c r="F26" t="s">
        <v>770</v>
      </c>
      <c r="G26" t="s">
        <v>780</v>
      </c>
      <c r="H26" t="s">
        <v>879</v>
      </c>
      <c r="I26" t="s">
        <v>880</v>
      </c>
    </row>
    <row r="27" spans="1:9">
      <c r="A27" t="s">
        <v>919</v>
      </c>
      <c r="B27" t="s">
        <v>793</v>
      </c>
      <c r="C27" t="s">
        <v>189</v>
      </c>
      <c r="D27" t="s">
        <v>895</v>
      </c>
      <c r="E27" t="s">
        <v>794</v>
      </c>
      <c r="F27" t="s">
        <v>770</v>
      </c>
      <c r="G27" t="s">
        <v>780</v>
      </c>
      <c r="H27" t="s">
        <v>879</v>
      </c>
      <c r="I27" t="s">
        <v>880</v>
      </c>
    </row>
    <row r="28" spans="1:9">
      <c r="A28" t="s">
        <v>920</v>
      </c>
      <c r="B28" t="s">
        <v>795</v>
      </c>
      <c r="C28" t="s">
        <v>199</v>
      </c>
      <c r="D28" t="s">
        <v>893</v>
      </c>
      <c r="E28" t="s">
        <v>783</v>
      </c>
      <c r="F28" t="s">
        <v>770</v>
      </c>
      <c r="G28" t="s">
        <v>772</v>
      </c>
      <c r="H28" t="s">
        <v>879</v>
      </c>
      <c r="I28" t="s">
        <v>880</v>
      </c>
    </row>
    <row r="29" spans="1:9">
      <c r="A29" t="s">
        <v>921</v>
      </c>
      <c r="B29" t="s">
        <v>795</v>
      </c>
      <c r="C29" t="s">
        <v>199</v>
      </c>
      <c r="D29" t="s">
        <v>895</v>
      </c>
      <c r="E29" t="s">
        <v>783</v>
      </c>
      <c r="F29" t="s">
        <v>770</v>
      </c>
      <c r="G29" t="s">
        <v>772</v>
      </c>
      <c r="H29" t="s">
        <v>879</v>
      </c>
      <c r="I29" t="s">
        <v>880</v>
      </c>
    </row>
    <row r="30" spans="1:9">
      <c r="A30" t="s">
        <v>922</v>
      </c>
      <c r="B30" t="s">
        <v>796</v>
      </c>
      <c r="C30" t="s">
        <v>206</v>
      </c>
      <c r="D30" t="s">
        <v>893</v>
      </c>
      <c r="E30" t="s">
        <v>798</v>
      </c>
      <c r="F30" t="s">
        <v>798</v>
      </c>
      <c r="G30" t="s">
        <v>772</v>
      </c>
      <c r="H30" t="s">
        <v>879</v>
      </c>
      <c r="I30" t="s">
        <v>880</v>
      </c>
    </row>
    <row r="31" spans="1:9">
      <c r="A31" t="s">
        <v>923</v>
      </c>
      <c r="B31" t="s">
        <v>796</v>
      </c>
      <c r="C31" t="s">
        <v>206</v>
      </c>
      <c r="D31" t="s">
        <v>895</v>
      </c>
      <c r="E31" t="s">
        <v>798</v>
      </c>
      <c r="F31" t="s">
        <v>798</v>
      </c>
      <c r="G31" t="s">
        <v>772</v>
      </c>
      <c r="H31" t="s">
        <v>879</v>
      </c>
      <c r="I31" t="s">
        <v>880</v>
      </c>
    </row>
    <row r="32" spans="1:9">
      <c r="A32" t="s">
        <v>924</v>
      </c>
      <c r="B32" t="s">
        <v>799</v>
      </c>
      <c r="C32" t="s">
        <v>215</v>
      </c>
      <c r="D32" t="s">
        <v>893</v>
      </c>
      <c r="E32" t="s">
        <v>800</v>
      </c>
      <c r="F32" t="s">
        <v>770</v>
      </c>
      <c r="G32" t="s">
        <v>777</v>
      </c>
      <c r="H32" t="s">
        <v>879</v>
      </c>
      <c r="I32" t="s">
        <v>880</v>
      </c>
    </row>
    <row r="33" spans="1:9">
      <c r="A33" t="s">
        <v>925</v>
      </c>
      <c r="B33" t="s">
        <v>799</v>
      </c>
      <c r="C33" t="s">
        <v>215</v>
      </c>
      <c r="D33" t="s">
        <v>895</v>
      </c>
      <c r="E33" t="s">
        <v>800</v>
      </c>
      <c r="F33" t="s">
        <v>770</v>
      </c>
      <c r="G33" t="s">
        <v>777</v>
      </c>
      <c r="H33" t="s">
        <v>879</v>
      </c>
      <c r="I33" t="s">
        <v>880</v>
      </c>
    </row>
    <row r="34" spans="1:9">
      <c r="A34" t="s">
        <v>926</v>
      </c>
      <c r="B34" t="s">
        <v>801</v>
      </c>
      <c r="C34" t="s">
        <v>221</v>
      </c>
      <c r="D34" t="s">
        <v>893</v>
      </c>
      <c r="E34" t="s">
        <v>790</v>
      </c>
      <c r="F34" t="s">
        <v>770</v>
      </c>
      <c r="G34" t="s">
        <v>772</v>
      </c>
      <c r="H34" t="s">
        <v>879</v>
      </c>
      <c r="I34" t="s">
        <v>880</v>
      </c>
    </row>
    <row r="35" spans="1:9">
      <c r="A35" t="s">
        <v>927</v>
      </c>
      <c r="B35" t="s">
        <v>801</v>
      </c>
      <c r="C35" t="s">
        <v>221</v>
      </c>
      <c r="D35" t="s">
        <v>895</v>
      </c>
      <c r="E35" t="s">
        <v>790</v>
      </c>
      <c r="F35" t="s">
        <v>770</v>
      </c>
      <c r="G35" t="s">
        <v>772</v>
      </c>
      <c r="H35" t="s">
        <v>879</v>
      </c>
      <c r="I35" t="s">
        <v>880</v>
      </c>
    </row>
    <row r="36" spans="1:9">
      <c r="A36" t="s">
        <v>928</v>
      </c>
      <c r="B36" t="s">
        <v>802</v>
      </c>
      <c r="C36" t="s">
        <v>228</v>
      </c>
      <c r="D36" t="s">
        <v>893</v>
      </c>
      <c r="E36" t="s">
        <v>774</v>
      </c>
      <c r="F36" t="s">
        <v>770</v>
      </c>
      <c r="G36" t="s">
        <v>772</v>
      </c>
      <c r="H36" t="s">
        <v>879</v>
      </c>
      <c r="I36" t="s">
        <v>880</v>
      </c>
    </row>
    <row r="37" spans="1:9">
      <c r="A37" t="s">
        <v>929</v>
      </c>
      <c r="B37" t="s">
        <v>802</v>
      </c>
      <c r="C37" t="s">
        <v>228</v>
      </c>
      <c r="D37" t="s">
        <v>895</v>
      </c>
      <c r="E37" t="s">
        <v>774</v>
      </c>
      <c r="F37" t="s">
        <v>770</v>
      </c>
      <c r="G37" t="s">
        <v>772</v>
      </c>
      <c r="H37" t="s">
        <v>879</v>
      </c>
      <c r="I37" t="s">
        <v>880</v>
      </c>
    </row>
    <row r="38" spans="1:9">
      <c r="A38" t="s">
        <v>930</v>
      </c>
      <c r="B38" t="s">
        <v>803</v>
      </c>
      <c r="C38" t="s">
        <v>235</v>
      </c>
      <c r="D38" t="s">
        <v>893</v>
      </c>
      <c r="E38" t="s">
        <v>790</v>
      </c>
      <c r="F38" t="s">
        <v>770</v>
      </c>
      <c r="G38" t="s">
        <v>772</v>
      </c>
      <c r="H38" t="s">
        <v>879</v>
      </c>
      <c r="I38" t="s">
        <v>880</v>
      </c>
    </row>
    <row r="39" spans="1:9">
      <c r="A39" t="s">
        <v>931</v>
      </c>
      <c r="B39" t="s">
        <v>803</v>
      </c>
      <c r="C39" t="s">
        <v>235</v>
      </c>
      <c r="D39" t="s">
        <v>895</v>
      </c>
      <c r="E39" t="s">
        <v>790</v>
      </c>
      <c r="F39" t="s">
        <v>770</v>
      </c>
      <c r="G39" t="s">
        <v>772</v>
      </c>
      <c r="H39" t="s">
        <v>879</v>
      </c>
      <c r="I39" t="s">
        <v>880</v>
      </c>
    </row>
    <row r="40" spans="1:9">
      <c r="A40" t="s">
        <v>932</v>
      </c>
      <c r="B40" t="s">
        <v>804</v>
      </c>
      <c r="C40" t="s">
        <v>243</v>
      </c>
      <c r="D40" t="s">
        <v>893</v>
      </c>
      <c r="E40" t="s">
        <v>790</v>
      </c>
      <c r="F40" t="s">
        <v>770</v>
      </c>
      <c r="G40" t="s">
        <v>772</v>
      </c>
      <c r="H40" t="s">
        <v>879</v>
      </c>
      <c r="I40" t="s">
        <v>880</v>
      </c>
    </row>
    <row r="41" spans="1:9">
      <c r="A41" t="s">
        <v>933</v>
      </c>
      <c r="B41" t="s">
        <v>804</v>
      </c>
      <c r="C41" t="s">
        <v>243</v>
      </c>
      <c r="D41" t="s">
        <v>895</v>
      </c>
      <c r="E41" t="s">
        <v>790</v>
      </c>
      <c r="F41" t="s">
        <v>770</v>
      </c>
      <c r="G41" t="s">
        <v>772</v>
      </c>
      <c r="H41" t="s">
        <v>879</v>
      </c>
      <c r="I41" t="s">
        <v>880</v>
      </c>
    </row>
    <row r="42" spans="1:9">
      <c r="A42" t="s">
        <v>934</v>
      </c>
      <c r="B42" t="s">
        <v>805</v>
      </c>
      <c r="C42" t="s">
        <v>251</v>
      </c>
      <c r="D42" t="s">
        <v>893</v>
      </c>
      <c r="E42" t="s">
        <v>800</v>
      </c>
      <c r="F42" t="s">
        <v>770</v>
      </c>
      <c r="G42" t="s">
        <v>777</v>
      </c>
      <c r="H42" t="s">
        <v>879</v>
      </c>
      <c r="I42" t="s">
        <v>880</v>
      </c>
    </row>
    <row r="43" spans="1:9">
      <c r="A43" t="s">
        <v>935</v>
      </c>
      <c r="B43" t="s">
        <v>805</v>
      </c>
      <c r="C43" t="s">
        <v>251</v>
      </c>
      <c r="D43" t="s">
        <v>895</v>
      </c>
      <c r="E43" t="s">
        <v>800</v>
      </c>
      <c r="F43" t="s">
        <v>770</v>
      </c>
      <c r="G43" t="s">
        <v>777</v>
      </c>
      <c r="H43" t="s">
        <v>879</v>
      </c>
      <c r="I43" t="s">
        <v>880</v>
      </c>
    </row>
    <row r="44" spans="1:9">
      <c r="A44" t="s">
        <v>936</v>
      </c>
      <c r="B44" t="s">
        <v>806</v>
      </c>
      <c r="C44" t="s">
        <v>261</v>
      </c>
      <c r="D44" t="s">
        <v>893</v>
      </c>
      <c r="E44" t="s">
        <v>774</v>
      </c>
      <c r="F44" t="s">
        <v>770</v>
      </c>
      <c r="G44" t="s">
        <v>772</v>
      </c>
      <c r="H44" t="s">
        <v>879</v>
      </c>
      <c r="I44" t="s">
        <v>880</v>
      </c>
    </row>
    <row r="45" spans="1:9">
      <c r="A45" t="s">
        <v>937</v>
      </c>
      <c r="B45" t="s">
        <v>806</v>
      </c>
      <c r="C45" t="s">
        <v>261</v>
      </c>
      <c r="D45" t="s">
        <v>895</v>
      </c>
      <c r="E45" t="s">
        <v>774</v>
      </c>
      <c r="F45" t="s">
        <v>770</v>
      </c>
      <c r="G45" t="s">
        <v>772</v>
      </c>
      <c r="H45" t="s">
        <v>879</v>
      </c>
      <c r="I45" t="s">
        <v>880</v>
      </c>
    </row>
    <row r="46" spans="1:9">
      <c r="A46" t="s">
        <v>938</v>
      </c>
      <c r="B46" t="s">
        <v>807</v>
      </c>
      <c r="C46" t="s">
        <v>269</v>
      </c>
      <c r="D46" t="s">
        <v>893</v>
      </c>
      <c r="E46" t="s">
        <v>783</v>
      </c>
      <c r="F46" t="s">
        <v>770</v>
      </c>
      <c r="G46" t="s">
        <v>772</v>
      </c>
      <c r="H46" t="s">
        <v>879</v>
      </c>
      <c r="I46" t="s">
        <v>880</v>
      </c>
    </row>
    <row r="47" spans="1:9">
      <c r="A47" t="s">
        <v>939</v>
      </c>
      <c r="B47" t="s">
        <v>807</v>
      </c>
      <c r="C47" t="s">
        <v>269</v>
      </c>
      <c r="D47" t="s">
        <v>895</v>
      </c>
      <c r="E47" t="s">
        <v>783</v>
      </c>
      <c r="F47" t="s">
        <v>770</v>
      </c>
      <c r="G47" t="s">
        <v>772</v>
      </c>
      <c r="H47" t="s">
        <v>879</v>
      </c>
      <c r="I47" t="s">
        <v>880</v>
      </c>
    </row>
    <row r="48" spans="1:9">
      <c r="A48" t="s">
        <v>940</v>
      </c>
      <c r="B48" t="s">
        <v>808</v>
      </c>
      <c r="C48" t="s">
        <v>277</v>
      </c>
      <c r="D48" t="s">
        <v>893</v>
      </c>
      <c r="E48" t="s">
        <v>800</v>
      </c>
      <c r="F48" t="s">
        <v>770</v>
      </c>
      <c r="G48" t="s">
        <v>777</v>
      </c>
      <c r="H48" t="s">
        <v>879</v>
      </c>
      <c r="I48" t="s">
        <v>880</v>
      </c>
    </row>
    <row r="49" spans="1:9">
      <c r="A49" t="s">
        <v>941</v>
      </c>
      <c r="B49" t="s">
        <v>808</v>
      </c>
      <c r="C49" t="s">
        <v>277</v>
      </c>
      <c r="D49" t="s">
        <v>895</v>
      </c>
      <c r="E49" t="s">
        <v>800</v>
      </c>
      <c r="F49" t="s">
        <v>770</v>
      </c>
      <c r="G49" t="s">
        <v>777</v>
      </c>
      <c r="H49" t="s">
        <v>879</v>
      </c>
      <c r="I49" t="s">
        <v>880</v>
      </c>
    </row>
    <row r="50" spans="1:9">
      <c r="A50" t="s">
        <v>942</v>
      </c>
      <c r="B50" t="s">
        <v>809</v>
      </c>
      <c r="C50" t="s">
        <v>285</v>
      </c>
      <c r="D50" t="s">
        <v>893</v>
      </c>
      <c r="E50" t="s">
        <v>800</v>
      </c>
      <c r="F50" t="s">
        <v>770</v>
      </c>
      <c r="G50" t="s">
        <v>777</v>
      </c>
      <c r="H50" t="s">
        <v>879</v>
      </c>
      <c r="I50" t="s">
        <v>880</v>
      </c>
    </row>
    <row r="51" spans="1:9">
      <c r="A51" t="s">
        <v>943</v>
      </c>
      <c r="B51" t="s">
        <v>809</v>
      </c>
      <c r="C51" t="s">
        <v>285</v>
      </c>
      <c r="D51" t="s">
        <v>895</v>
      </c>
      <c r="E51" t="s">
        <v>800</v>
      </c>
      <c r="F51" t="s">
        <v>770</v>
      </c>
      <c r="G51" t="s">
        <v>777</v>
      </c>
      <c r="H51" t="s">
        <v>879</v>
      </c>
      <c r="I51" t="s">
        <v>880</v>
      </c>
    </row>
    <row r="52" spans="1:9">
      <c r="A52" t="s">
        <v>944</v>
      </c>
      <c r="B52" t="s">
        <v>810</v>
      </c>
      <c r="C52" t="s">
        <v>293</v>
      </c>
      <c r="D52" t="s">
        <v>893</v>
      </c>
      <c r="E52" t="s">
        <v>800</v>
      </c>
      <c r="F52" t="s">
        <v>770</v>
      </c>
      <c r="G52" t="s">
        <v>777</v>
      </c>
      <c r="H52" t="s">
        <v>879</v>
      </c>
      <c r="I52" t="s">
        <v>880</v>
      </c>
    </row>
    <row r="53" spans="1:9">
      <c r="A53" t="s">
        <v>945</v>
      </c>
      <c r="B53" t="s">
        <v>810</v>
      </c>
      <c r="C53" t="s">
        <v>293</v>
      </c>
      <c r="D53" t="s">
        <v>895</v>
      </c>
      <c r="E53" t="s">
        <v>800</v>
      </c>
      <c r="F53" t="s">
        <v>770</v>
      </c>
      <c r="G53" t="s">
        <v>777</v>
      </c>
      <c r="H53" t="s">
        <v>879</v>
      </c>
      <c r="I53" t="s">
        <v>880</v>
      </c>
    </row>
    <row r="54" spans="1:9">
      <c r="A54" t="s">
        <v>946</v>
      </c>
      <c r="B54" t="s">
        <v>811</v>
      </c>
      <c r="C54" t="s">
        <v>301</v>
      </c>
      <c r="D54" t="s">
        <v>893</v>
      </c>
      <c r="E54" t="s">
        <v>774</v>
      </c>
      <c r="F54" t="s">
        <v>770</v>
      </c>
      <c r="G54" t="s">
        <v>772</v>
      </c>
      <c r="H54" t="s">
        <v>879</v>
      </c>
      <c r="I54" t="s">
        <v>880</v>
      </c>
    </row>
    <row r="55" spans="1:9">
      <c r="A55" t="s">
        <v>947</v>
      </c>
      <c r="B55" t="s">
        <v>811</v>
      </c>
      <c r="C55" t="s">
        <v>301</v>
      </c>
      <c r="D55" t="s">
        <v>895</v>
      </c>
      <c r="E55" t="s">
        <v>774</v>
      </c>
      <c r="F55" t="s">
        <v>770</v>
      </c>
      <c r="G55" t="s">
        <v>772</v>
      </c>
      <c r="H55" t="s">
        <v>879</v>
      </c>
      <c r="I55" t="s">
        <v>880</v>
      </c>
    </row>
    <row r="56" spans="1:9">
      <c r="A56" t="s">
        <v>948</v>
      </c>
      <c r="B56" t="s">
        <v>812</v>
      </c>
      <c r="C56" t="s">
        <v>309</v>
      </c>
      <c r="D56" t="s">
        <v>893</v>
      </c>
      <c r="E56" t="s">
        <v>774</v>
      </c>
      <c r="F56" t="s">
        <v>770</v>
      </c>
      <c r="G56" t="s">
        <v>772</v>
      </c>
      <c r="H56" t="s">
        <v>879</v>
      </c>
      <c r="I56" t="s">
        <v>880</v>
      </c>
    </row>
    <row r="57" spans="1:9">
      <c r="A57" t="s">
        <v>949</v>
      </c>
      <c r="B57" t="s">
        <v>812</v>
      </c>
      <c r="C57" t="s">
        <v>309</v>
      </c>
      <c r="D57" t="s">
        <v>895</v>
      </c>
      <c r="E57" t="s">
        <v>774</v>
      </c>
      <c r="F57" t="s">
        <v>770</v>
      </c>
      <c r="G57" t="s">
        <v>772</v>
      </c>
      <c r="H57" t="s">
        <v>879</v>
      </c>
      <c r="I57" t="s">
        <v>880</v>
      </c>
    </row>
    <row r="58" spans="1:9">
      <c r="A58" t="s">
        <v>950</v>
      </c>
      <c r="B58" t="s">
        <v>813</v>
      </c>
      <c r="C58" t="s">
        <v>317</v>
      </c>
      <c r="D58" t="s">
        <v>893</v>
      </c>
      <c r="E58" t="s">
        <v>774</v>
      </c>
      <c r="F58" t="s">
        <v>770</v>
      </c>
      <c r="G58" t="s">
        <v>772</v>
      </c>
      <c r="H58" t="s">
        <v>879</v>
      </c>
      <c r="I58" t="s">
        <v>880</v>
      </c>
    </row>
    <row r="59" spans="1:9">
      <c r="A59" t="s">
        <v>951</v>
      </c>
      <c r="B59" t="s">
        <v>813</v>
      </c>
      <c r="C59" t="s">
        <v>317</v>
      </c>
      <c r="D59" t="s">
        <v>895</v>
      </c>
      <c r="E59" t="s">
        <v>774</v>
      </c>
      <c r="F59" t="s">
        <v>770</v>
      </c>
      <c r="G59" t="s">
        <v>772</v>
      </c>
      <c r="H59" t="s">
        <v>879</v>
      </c>
      <c r="I59" t="s">
        <v>880</v>
      </c>
    </row>
    <row r="60" spans="1:9">
      <c r="A60" t="s">
        <v>952</v>
      </c>
      <c r="B60" t="s">
        <v>814</v>
      </c>
      <c r="C60" t="s">
        <v>324</v>
      </c>
      <c r="D60" t="s">
        <v>893</v>
      </c>
      <c r="E60" t="s">
        <v>774</v>
      </c>
      <c r="F60" t="s">
        <v>770</v>
      </c>
      <c r="G60" t="s">
        <v>772</v>
      </c>
      <c r="H60" t="s">
        <v>879</v>
      </c>
      <c r="I60" t="s">
        <v>880</v>
      </c>
    </row>
    <row r="61" spans="1:9">
      <c r="A61" t="s">
        <v>953</v>
      </c>
      <c r="B61" t="s">
        <v>814</v>
      </c>
      <c r="C61" t="s">
        <v>324</v>
      </c>
      <c r="D61" t="s">
        <v>895</v>
      </c>
      <c r="E61" t="s">
        <v>774</v>
      </c>
      <c r="F61" t="s">
        <v>770</v>
      </c>
      <c r="G61" t="s">
        <v>772</v>
      </c>
      <c r="H61" t="s">
        <v>879</v>
      </c>
      <c r="I61" t="s">
        <v>880</v>
      </c>
    </row>
    <row r="62" spans="1:9">
      <c r="A62" t="s">
        <v>954</v>
      </c>
      <c r="B62" t="s">
        <v>815</v>
      </c>
      <c r="C62" t="s">
        <v>330</v>
      </c>
      <c r="D62" t="s">
        <v>893</v>
      </c>
      <c r="E62" t="s">
        <v>774</v>
      </c>
      <c r="F62" t="s">
        <v>770</v>
      </c>
      <c r="G62" t="s">
        <v>772</v>
      </c>
      <c r="H62" t="s">
        <v>879</v>
      </c>
      <c r="I62" t="s">
        <v>880</v>
      </c>
    </row>
    <row r="63" spans="1:9">
      <c r="A63" t="s">
        <v>955</v>
      </c>
      <c r="B63" t="s">
        <v>815</v>
      </c>
      <c r="C63" t="s">
        <v>330</v>
      </c>
      <c r="D63" t="s">
        <v>895</v>
      </c>
      <c r="E63" t="s">
        <v>774</v>
      </c>
      <c r="F63" t="s">
        <v>770</v>
      </c>
      <c r="G63" t="s">
        <v>772</v>
      </c>
      <c r="H63" t="s">
        <v>879</v>
      </c>
      <c r="I63" t="s">
        <v>880</v>
      </c>
    </row>
    <row r="64" spans="1:9">
      <c r="A64" t="s">
        <v>956</v>
      </c>
      <c r="B64" t="s">
        <v>816</v>
      </c>
      <c r="C64" t="s">
        <v>338</v>
      </c>
      <c r="D64" t="s">
        <v>893</v>
      </c>
      <c r="E64" t="s">
        <v>774</v>
      </c>
      <c r="F64" t="s">
        <v>770</v>
      </c>
      <c r="G64" t="s">
        <v>772</v>
      </c>
      <c r="H64" t="s">
        <v>879</v>
      </c>
      <c r="I64" t="s">
        <v>880</v>
      </c>
    </row>
    <row r="65" spans="1:9">
      <c r="A65" t="s">
        <v>957</v>
      </c>
      <c r="B65" t="s">
        <v>816</v>
      </c>
      <c r="C65" t="s">
        <v>338</v>
      </c>
      <c r="D65" t="s">
        <v>895</v>
      </c>
      <c r="E65" t="s">
        <v>774</v>
      </c>
      <c r="F65" t="s">
        <v>770</v>
      </c>
      <c r="G65" t="s">
        <v>772</v>
      </c>
      <c r="H65" t="s">
        <v>879</v>
      </c>
      <c r="I65" t="s">
        <v>880</v>
      </c>
    </row>
    <row r="66" spans="1:9">
      <c r="A66" t="s">
        <v>958</v>
      </c>
      <c r="B66" t="s">
        <v>817</v>
      </c>
      <c r="C66" t="s">
        <v>346</v>
      </c>
      <c r="D66" t="s">
        <v>893</v>
      </c>
      <c r="E66" t="s">
        <v>774</v>
      </c>
      <c r="F66" t="s">
        <v>770</v>
      </c>
      <c r="G66" t="s">
        <v>772</v>
      </c>
      <c r="H66" t="s">
        <v>879</v>
      </c>
      <c r="I66" t="s">
        <v>880</v>
      </c>
    </row>
    <row r="67" spans="1:9">
      <c r="A67" t="s">
        <v>959</v>
      </c>
      <c r="B67" t="s">
        <v>817</v>
      </c>
      <c r="C67" t="s">
        <v>346</v>
      </c>
      <c r="D67" t="s">
        <v>895</v>
      </c>
      <c r="E67" t="s">
        <v>774</v>
      </c>
      <c r="F67" t="s">
        <v>770</v>
      </c>
      <c r="G67" t="s">
        <v>772</v>
      </c>
      <c r="H67" t="s">
        <v>879</v>
      </c>
      <c r="I67" t="s">
        <v>880</v>
      </c>
    </row>
    <row r="68" spans="1:9">
      <c r="A68" t="s">
        <v>960</v>
      </c>
      <c r="B68" t="s">
        <v>818</v>
      </c>
      <c r="C68" t="s">
        <v>354</v>
      </c>
      <c r="D68" t="s">
        <v>893</v>
      </c>
      <c r="E68" t="s">
        <v>774</v>
      </c>
      <c r="F68" t="s">
        <v>770</v>
      </c>
      <c r="G68" t="s">
        <v>772</v>
      </c>
      <c r="H68" t="s">
        <v>879</v>
      </c>
      <c r="I68" t="s">
        <v>880</v>
      </c>
    </row>
    <row r="69" spans="1:9">
      <c r="A69" t="s">
        <v>961</v>
      </c>
      <c r="B69" t="s">
        <v>818</v>
      </c>
      <c r="C69" t="s">
        <v>354</v>
      </c>
      <c r="D69" t="s">
        <v>895</v>
      </c>
      <c r="E69" t="s">
        <v>774</v>
      </c>
      <c r="F69" t="s">
        <v>770</v>
      </c>
      <c r="G69" t="s">
        <v>772</v>
      </c>
      <c r="H69" t="s">
        <v>879</v>
      </c>
      <c r="I69" t="s">
        <v>880</v>
      </c>
    </row>
    <row r="70" spans="1:9">
      <c r="A70" t="s">
        <v>962</v>
      </c>
      <c r="B70" t="s">
        <v>819</v>
      </c>
      <c r="C70" t="s">
        <v>361</v>
      </c>
      <c r="D70" t="s">
        <v>893</v>
      </c>
      <c r="E70" t="s">
        <v>774</v>
      </c>
      <c r="F70" t="s">
        <v>770</v>
      </c>
      <c r="G70" t="s">
        <v>772</v>
      </c>
      <c r="H70" t="s">
        <v>879</v>
      </c>
      <c r="I70" t="s">
        <v>880</v>
      </c>
    </row>
    <row r="71" spans="1:9">
      <c r="A71" t="s">
        <v>963</v>
      </c>
      <c r="B71" t="s">
        <v>819</v>
      </c>
      <c r="C71" t="s">
        <v>361</v>
      </c>
      <c r="D71" t="s">
        <v>895</v>
      </c>
      <c r="E71" t="s">
        <v>774</v>
      </c>
      <c r="F71" t="s">
        <v>770</v>
      </c>
      <c r="G71" t="s">
        <v>772</v>
      </c>
      <c r="H71" t="s">
        <v>879</v>
      </c>
      <c r="I71" t="s">
        <v>880</v>
      </c>
    </row>
    <row r="72" spans="1:9">
      <c r="A72" t="s">
        <v>964</v>
      </c>
      <c r="B72" t="s">
        <v>820</v>
      </c>
      <c r="C72" t="s">
        <v>369</v>
      </c>
      <c r="D72" t="s">
        <v>893</v>
      </c>
      <c r="E72" t="s">
        <v>774</v>
      </c>
      <c r="F72" t="s">
        <v>770</v>
      </c>
      <c r="G72" t="s">
        <v>772</v>
      </c>
      <c r="H72" t="s">
        <v>879</v>
      </c>
      <c r="I72" t="s">
        <v>880</v>
      </c>
    </row>
    <row r="73" spans="1:9">
      <c r="A73" t="s">
        <v>965</v>
      </c>
      <c r="B73" t="s">
        <v>820</v>
      </c>
      <c r="C73" t="s">
        <v>369</v>
      </c>
      <c r="D73" t="s">
        <v>895</v>
      </c>
      <c r="E73" t="s">
        <v>774</v>
      </c>
      <c r="F73" t="s">
        <v>770</v>
      </c>
      <c r="G73" t="s">
        <v>772</v>
      </c>
      <c r="H73" t="s">
        <v>879</v>
      </c>
      <c r="I73" t="s">
        <v>880</v>
      </c>
    </row>
    <row r="74" spans="1:9">
      <c r="A74" t="s">
        <v>966</v>
      </c>
      <c r="B74" t="s">
        <v>821</v>
      </c>
      <c r="C74" t="s">
        <v>380</v>
      </c>
      <c r="D74" t="s">
        <v>893</v>
      </c>
      <c r="E74" t="s">
        <v>774</v>
      </c>
      <c r="F74" t="s">
        <v>770</v>
      </c>
      <c r="G74" t="s">
        <v>772</v>
      </c>
      <c r="H74" t="s">
        <v>879</v>
      </c>
      <c r="I74" t="s">
        <v>880</v>
      </c>
    </row>
    <row r="75" spans="1:9">
      <c r="A75" t="s">
        <v>967</v>
      </c>
      <c r="B75" t="s">
        <v>821</v>
      </c>
      <c r="C75" t="s">
        <v>380</v>
      </c>
      <c r="D75" t="s">
        <v>895</v>
      </c>
      <c r="E75" t="s">
        <v>774</v>
      </c>
      <c r="F75" t="s">
        <v>770</v>
      </c>
      <c r="G75" t="s">
        <v>772</v>
      </c>
      <c r="H75" t="s">
        <v>879</v>
      </c>
      <c r="I75" t="s">
        <v>880</v>
      </c>
    </row>
    <row r="76" spans="1:9">
      <c r="A76" t="s">
        <v>968</v>
      </c>
      <c r="B76" t="s">
        <v>822</v>
      </c>
      <c r="C76" t="s">
        <v>392</v>
      </c>
      <c r="D76" t="s">
        <v>893</v>
      </c>
      <c r="E76" t="s">
        <v>798</v>
      </c>
      <c r="F76" t="s">
        <v>798</v>
      </c>
      <c r="G76" t="s">
        <v>772</v>
      </c>
      <c r="H76" t="s">
        <v>879</v>
      </c>
      <c r="I76" t="s">
        <v>880</v>
      </c>
    </row>
    <row r="77" spans="1:9">
      <c r="A77" t="s">
        <v>969</v>
      </c>
      <c r="B77" t="s">
        <v>822</v>
      </c>
      <c r="C77" t="s">
        <v>392</v>
      </c>
      <c r="D77" t="s">
        <v>895</v>
      </c>
      <c r="E77" t="s">
        <v>798</v>
      </c>
      <c r="F77" t="s">
        <v>798</v>
      </c>
      <c r="G77" t="s">
        <v>772</v>
      </c>
      <c r="H77" t="s">
        <v>879</v>
      </c>
      <c r="I77" t="s">
        <v>880</v>
      </c>
    </row>
    <row r="78" spans="1:9">
      <c r="A78" t="s">
        <v>970</v>
      </c>
      <c r="B78" t="s">
        <v>823</v>
      </c>
      <c r="C78" t="s">
        <v>396</v>
      </c>
      <c r="D78" t="s">
        <v>893</v>
      </c>
      <c r="E78" t="s">
        <v>798</v>
      </c>
      <c r="F78" t="s">
        <v>798</v>
      </c>
      <c r="G78" t="s">
        <v>772</v>
      </c>
      <c r="H78" t="s">
        <v>879</v>
      </c>
      <c r="I78" t="s">
        <v>880</v>
      </c>
    </row>
    <row r="79" spans="1:9">
      <c r="A79" t="s">
        <v>971</v>
      </c>
      <c r="B79" t="s">
        <v>823</v>
      </c>
      <c r="C79" t="s">
        <v>396</v>
      </c>
      <c r="D79" t="s">
        <v>895</v>
      </c>
      <c r="E79" t="s">
        <v>798</v>
      </c>
      <c r="F79" t="s">
        <v>798</v>
      </c>
      <c r="G79" t="s">
        <v>772</v>
      </c>
      <c r="H79" t="s">
        <v>879</v>
      </c>
      <c r="I79" t="s">
        <v>880</v>
      </c>
    </row>
    <row r="80" spans="1:9">
      <c r="A80" t="s">
        <v>972</v>
      </c>
      <c r="B80" t="s">
        <v>824</v>
      </c>
      <c r="C80" t="s">
        <v>402</v>
      </c>
      <c r="D80" t="s">
        <v>893</v>
      </c>
      <c r="E80" t="s">
        <v>798</v>
      </c>
      <c r="F80" t="s">
        <v>798</v>
      </c>
      <c r="G80" t="s">
        <v>772</v>
      </c>
      <c r="H80" t="s">
        <v>879</v>
      </c>
      <c r="I80" t="s">
        <v>880</v>
      </c>
    </row>
    <row r="81" spans="1:9">
      <c r="A81" t="s">
        <v>973</v>
      </c>
      <c r="B81" t="s">
        <v>824</v>
      </c>
      <c r="C81" t="s">
        <v>402</v>
      </c>
      <c r="D81" t="s">
        <v>895</v>
      </c>
      <c r="E81" t="s">
        <v>798</v>
      </c>
      <c r="F81" t="s">
        <v>798</v>
      </c>
      <c r="G81" t="s">
        <v>772</v>
      </c>
      <c r="H81" t="s">
        <v>879</v>
      </c>
      <c r="I81" t="s">
        <v>880</v>
      </c>
    </row>
    <row r="82" spans="1:9">
      <c r="A82" t="s">
        <v>974</v>
      </c>
      <c r="B82" t="s">
        <v>825</v>
      </c>
      <c r="C82" t="s">
        <v>405</v>
      </c>
      <c r="D82" t="s">
        <v>893</v>
      </c>
      <c r="E82" t="s">
        <v>800</v>
      </c>
      <c r="F82" t="s">
        <v>770</v>
      </c>
      <c r="G82" t="s">
        <v>777</v>
      </c>
      <c r="H82" t="s">
        <v>879</v>
      </c>
      <c r="I82" t="s">
        <v>880</v>
      </c>
    </row>
    <row r="83" spans="1:9">
      <c r="A83" t="s">
        <v>975</v>
      </c>
      <c r="B83" t="s">
        <v>825</v>
      </c>
      <c r="C83" t="s">
        <v>405</v>
      </c>
      <c r="D83" t="s">
        <v>895</v>
      </c>
      <c r="E83" t="s">
        <v>800</v>
      </c>
      <c r="F83" t="s">
        <v>770</v>
      </c>
      <c r="G83" t="s">
        <v>777</v>
      </c>
      <c r="H83" t="s">
        <v>879</v>
      </c>
      <c r="I83" t="s">
        <v>880</v>
      </c>
    </row>
    <row r="84" spans="1:9">
      <c r="A84" t="s">
        <v>976</v>
      </c>
      <c r="B84" t="s">
        <v>826</v>
      </c>
      <c r="C84" t="s">
        <v>409</v>
      </c>
      <c r="D84" t="s">
        <v>893</v>
      </c>
      <c r="E84" t="s">
        <v>800</v>
      </c>
      <c r="F84" t="s">
        <v>770</v>
      </c>
      <c r="G84" t="s">
        <v>777</v>
      </c>
      <c r="H84" t="s">
        <v>879</v>
      </c>
      <c r="I84" t="s">
        <v>880</v>
      </c>
    </row>
    <row r="85" spans="1:9">
      <c r="A85" t="s">
        <v>977</v>
      </c>
      <c r="B85" t="s">
        <v>826</v>
      </c>
      <c r="C85" t="s">
        <v>409</v>
      </c>
      <c r="D85" t="s">
        <v>895</v>
      </c>
      <c r="E85" t="s">
        <v>800</v>
      </c>
      <c r="F85" t="s">
        <v>770</v>
      </c>
      <c r="G85" t="s">
        <v>777</v>
      </c>
      <c r="H85" t="s">
        <v>879</v>
      </c>
      <c r="I85" t="s">
        <v>880</v>
      </c>
    </row>
    <row r="86" spans="1:9">
      <c r="A86" t="s">
        <v>978</v>
      </c>
      <c r="B86" t="s">
        <v>827</v>
      </c>
      <c r="C86" t="s">
        <v>412</v>
      </c>
      <c r="D86" t="s">
        <v>893</v>
      </c>
      <c r="E86" t="s">
        <v>798</v>
      </c>
      <c r="F86" t="s">
        <v>798</v>
      </c>
      <c r="G86" t="s">
        <v>772</v>
      </c>
      <c r="H86" t="s">
        <v>879</v>
      </c>
      <c r="I86" t="s">
        <v>880</v>
      </c>
    </row>
    <row r="87" spans="1:9">
      <c r="A87" t="s">
        <v>979</v>
      </c>
      <c r="B87" t="s">
        <v>827</v>
      </c>
      <c r="C87" t="s">
        <v>412</v>
      </c>
      <c r="D87" t="s">
        <v>895</v>
      </c>
      <c r="E87" t="s">
        <v>798</v>
      </c>
      <c r="F87" t="s">
        <v>798</v>
      </c>
      <c r="G87" t="s">
        <v>772</v>
      </c>
      <c r="H87" t="s">
        <v>879</v>
      </c>
      <c r="I87" t="s">
        <v>880</v>
      </c>
    </row>
    <row r="88" spans="1:9">
      <c r="A88" t="s">
        <v>980</v>
      </c>
      <c r="B88" t="s">
        <v>828</v>
      </c>
      <c r="C88" t="s">
        <v>419</v>
      </c>
      <c r="D88" t="s">
        <v>893</v>
      </c>
      <c r="E88" t="s">
        <v>829</v>
      </c>
      <c r="F88" t="s">
        <v>830</v>
      </c>
      <c r="G88" t="s">
        <v>831</v>
      </c>
      <c r="H88" t="s">
        <v>879</v>
      </c>
      <c r="I88" t="s">
        <v>880</v>
      </c>
    </row>
    <row r="89" spans="1:9">
      <c r="A89" t="s">
        <v>981</v>
      </c>
      <c r="B89" t="s">
        <v>828</v>
      </c>
      <c r="C89" t="s">
        <v>419</v>
      </c>
      <c r="D89" t="s">
        <v>895</v>
      </c>
      <c r="E89" t="s">
        <v>829</v>
      </c>
      <c r="F89" t="s">
        <v>830</v>
      </c>
      <c r="G89" t="s">
        <v>831</v>
      </c>
      <c r="H89" t="s">
        <v>879</v>
      </c>
      <c r="I89" t="s">
        <v>880</v>
      </c>
    </row>
    <row r="90" spans="1:9">
      <c r="A90" t="s">
        <v>982</v>
      </c>
      <c r="B90" t="s">
        <v>832</v>
      </c>
      <c r="C90" t="s">
        <v>426</v>
      </c>
      <c r="D90" t="s">
        <v>893</v>
      </c>
      <c r="E90" t="s">
        <v>829</v>
      </c>
      <c r="F90" t="s">
        <v>830</v>
      </c>
      <c r="G90" t="s">
        <v>831</v>
      </c>
      <c r="H90" t="s">
        <v>879</v>
      </c>
      <c r="I90" t="s">
        <v>880</v>
      </c>
    </row>
    <row r="91" spans="1:9">
      <c r="A91" t="s">
        <v>983</v>
      </c>
      <c r="B91" t="s">
        <v>832</v>
      </c>
      <c r="C91" t="s">
        <v>426</v>
      </c>
      <c r="D91" t="s">
        <v>895</v>
      </c>
      <c r="E91" t="s">
        <v>829</v>
      </c>
      <c r="F91" t="s">
        <v>830</v>
      </c>
      <c r="G91" t="s">
        <v>831</v>
      </c>
      <c r="H91" t="s">
        <v>879</v>
      </c>
      <c r="I91" t="s">
        <v>880</v>
      </c>
    </row>
    <row r="92" spans="1:9">
      <c r="A92" t="s">
        <v>984</v>
      </c>
      <c r="B92" t="s">
        <v>833</v>
      </c>
      <c r="C92" t="s">
        <v>432</v>
      </c>
      <c r="D92" t="s">
        <v>893</v>
      </c>
      <c r="E92" t="s">
        <v>829</v>
      </c>
      <c r="F92" t="s">
        <v>830</v>
      </c>
      <c r="G92" t="s">
        <v>831</v>
      </c>
      <c r="H92" t="s">
        <v>879</v>
      </c>
      <c r="I92" t="s">
        <v>880</v>
      </c>
    </row>
    <row r="93" spans="1:9">
      <c r="A93" t="s">
        <v>985</v>
      </c>
      <c r="B93" t="s">
        <v>833</v>
      </c>
      <c r="C93" t="s">
        <v>432</v>
      </c>
      <c r="D93" t="s">
        <v>895</v>
      </c>
      <c r="E93" t="s">
        <v>829</v>
      </c>
      <c r="F93" t="s">
        <v>830</v>
      </c>
      <c r="G93" t="s">
        <v>831</v>
      </c>
      <c r="H93" t="s">
        <v>879</v>
      </c>
      <c r="I93" t="s">
        <v>880</v>
      </c>
    </row>
    <row r="94" spans="1:9">
      <c r="A94" t="s">
        <v>986</v>
      </c>
      <c r="B94" t="s">
        <v>834</v>
      </c>
      <c r="C94" t="s">
        <v>435</v>
      </c>
      <c r="D94" t="s">
        <v>893</v>
      </c>
      <c r="E94" t="s">
        <v>829</v>
      </c>
      <c r="F94" t="s">
        <v>830</v>
      </c>
      <c r="G94" t="s">
        <v>831</v>
      </c>
      <c r="H94" t="s">
        <v>879</v>
      </c>
      <c r="I94" t="s">
        <v>880</v>
      </c>
    </row>
    <row r="95" spans="1:9">
      <c r="A95" t="s">
        <v>987</v>
      </c>
      <c r="B95" t="s">
        <v>834</v>
      </c>
      <c r="C95" t="s">
        <v>435</v>
      </c>
      <c r="D95" t="s">
        <v>895</v>
      </c>
      <c r="E95" t="s">
        <v>829</v>
      </c>
      <c r="F95" t="s">
        <v>830</v>
      </c>
      <c r="G95" t="s">
        <v>831</v>
      </c>
      <c r="H95" t="s">
        <v>879</v>
      </c>
      <c r="I95" t="s">
        <v>880</v>
      </c>
    </row>
    <row r="96" spans="1:9">
      <c r="A96" t="s">
        <v>988</v>
      </c>
      <c r="B96" t="s">
        <v>835</v>
      </c>
      <c r="C96" t="s">
        <v>440</v>
      </c>
      <c r="D96" t="s">
        <v>893</v>
      </c>
      <c r="E96" t="s">
        <v>829</v>
      </c>
      <c r="F96" t="s">
        <v>830</v>
      </c>
      <c r="G96" t="s">
        <v>831</v>
      </c>
      <c r="H96" t="s">
        <v>879</v>
      </c>
      <c r="I96" t="s">
        <v>880</v>
      </c>
    </row>
    <row r="97" spans="1:9">
      <c r="A97" t="s">
        <v>989</v>
      </c>
      <c r="B97" t="s">
        <v>835</v>
      </c>
      <c r="C97" t="s">
        <v>440</v>
      </c>
      <c r="D97" t="s">
        <v>895</v>
      </c>
      <c r="E97" t="s">
        <v>829</v>
      </c>
      <c r="F97" t="s">
        <v>830</v>
      </c>
      <c r="G97" t="s">
        <v>831</v>
      </c>
      <c r="H97" t="s">
        <v>879</v>
      </c>
      <c r="I97" t="s">
        <v>880</v>
      </c>
    </row>
    <row r="98" spans="1:9">
      <c r="A98" t="s">
        <v>990</v>
      </c>
      <c r="B98" t="s">
        <v>836</v>
      </c>
      <c r="C98" t="s">
        <v>443</v>
      </c>
      <c r="D98" t="s">
        <v>893</v>
      </c>
      <c r="E98" t="s">
        <v>829</v>
      </c>
      <c r="F98" t="s">
        <v>830</v>
      </c>
      <c r="G98" t="s">
        <v>831</v>
      </c>
      <c r="H98" t="s">
        <v>879</v>
      </c>
      <c r="I98" t="s">
        <v>880</v>
      </c>
    </row>
    <row r="99" spans="1:9">
      <c r="A99" t="s">
        <v>991</v>
      </c>
      <c r="B99" t="s">
        <v>836</v>
      </c>
      <c r="C99" t="s">
        <v>443</v>
      </c>
      <c r="D99" t="s">
        <v>895</v>
      </c>
      <c r="E99" t="s">
        <v>829</v>
      </c>
      <c r="F99" t="s">
        <v>830</v>
      </c>
      <c r="G99" t="s">
        <v>831</v>
      </c>
      <c r="H99" t="s">
        <v>879</v>
      </c>
      <c r="I99" t="s">
        <v>880</v>
      </c>
    </row>
    <row r="100" spans="1:9">
      <c r="A100" t="s">
        <v>992</v>
      </c>
      <c r="B100" t="s">
        <v>837</v>
      </c>
      <c r="C100" t="s">
        <v>446</v>
      </c>
      <c r="D100" t="s">
        <v>893</v>
      </c>
      <c r="E100" t="s">
        <v>829</v>
      </c>
      <c r="F100" t="s">
        <v>830</v>
      </c>
      <c r="G100" t="s">
        <v>831</v>
      </c>
      <c r="H100" t="s">
        <v>879</v>
      </c>
      <c r="I100" t="s">
        <v>880</v>
      </c>
    </row>
    <row r="101" spans="1:9">
      <c r="A101" t="s">
        <v>993</v>
      </c>
      <c r="B101" t="s">
        <v>837</v>
      </c>
      <c r="C101" t="s">
        <v>446</v>
      </c>
      <c r="D101" t="s">
        <v>895</v>
      </c>
      <c r="E101" t="s">
        <v>829</v>
      </c>
      <c r="F101" t="s">
        <v>830</v>
      </c>
      <c r="G101" t="s">
        <v>831</v>
      </c>
      <c r="H101" t="s">
        <v>879</v>
      </c>
      <c r="I101" t="s">
        <v>880</v>
      </c>
    </row>
    <row r="102" spans="1:9">
      <c r="A102" t="s">
        <v>994</v>
      </c>
      <c r="B102" t="s">
        <v>838</v>
      </c>
      <c r="C102" t="s">
        <v>449</v>
      </c>
      <c r="D102" t="s">
        <v>893</v>
      </c>
      <c r="E102" t="s">
        <v>829</v>
      </c>
      <c r="F102" t="s">
        <v>830</v>
      </c>
      <c r="G102" t="s">
        <v>831</v>
      </c>
      <c r="H102" t="s">
        <v>879</v>
      </c>
      <c r="I102" t="s">
        <v>880</v>
      </c>
    </row>
    <row r="103" spans="1:9">
      <c r="A103" t="s">
        <v>995</v>
      </c>
      <c r="B103" t="s">
        <v>838</v>
      </c>
      <c r="C103" t="s">
        <v>449</v>
      </c>
      <c r="D103" t="s">
        <v>895</v>
      </c>
      <c r="E103" t="s">
        <v>829</v>
      </c>
      <c r="F103" t="s">
        <v>830</v>
      </c>
      <c r="G103" t="s">
        <v>831</v>
      </c>
      <c r="H103" t="s">
        <v>879</v>
      </c>
      <c r="I103" t="s">
        <v>880</v>
      </c>
    </row>
    <row r="104" spans="1:9">
      <c r="A104" t="s">
        <v>996</v>
      </c>
      <c r="B104" t="s">
        <v>839</v>
      </c>
      <c r="C104" t="s">
        <v>453</v>
      </c>
      <c r="D104" t="s">
        <v>893</v>
      </c>
      <c r="E104" t="s">
        <v>829</v>
      </c>
      <c r="F104" t="s">
        <v>830</v>
      </c>
      <c r="G104" t="s">
        <v>831</v>
      </c>
      <c r="H104" t="s">
        <v>879</v>
      </c>
      <c r="I104" t="s">
        <v>880</v>
      </c>
    </row>
    <row r="105" spans="1:9">
      <c r="A105" t="s">
        <v>997</v>
      </c>
      <c r="B105" t="s">
        <v>839</v>
      </c>
      <c r="C105" t="s">
        <v>453</v>
      </c>
      <c r="D105" t="s">
        <v>895</v>
      </c>
      <c r="E105" t="s">
        <v>829</v>
      </c>
      <c r="F105" t="s">
        <v>830</v>
      </c>
      <c r="G105" t="s">
        <v>831</v>
      </c>
      <c r="H105" t="s">
        <v>879</v>
      </c>
      <c r="I105" t="s">
        <v>880</v>
      </c>
    </row>
    <row r="106" spans="1:9">
      <c r="A106" t="s">
        <v>998</v>
      </c>
      <c r="B106" t="s">
        <v>840</v>
      </c>
      <c r="C106" t="s">
        <v>455</v>
      </c>
      <c r="D106" t="s">
        <v>893</v>
      </c>
      <c r="E106" t="s">
        <v>829</v>
      </c>
      <c r="F106" t="s">
        <v>830</v>
      </c>
      <c r="G106" t="s">
        <v>831</v>
      </c>
      <c r="H106" t="s">
        <v>879</v>
      </c>
      <c r="I106" t="s">
        <v>880</v>
      </c>
    </row>
    <row r="107" spans="1:9">
      <c r="A107" t="s">
        <v>999</v>
      </c>
      <c r="B107" t="s">
        <v>840</v>
      </c>
      <c r="C107" t="s">
        <v>455</v>
      </c>
      <c r="D107" t="s">
        <v>895</v>
      </c>
      <c r="E107" t="s">
        <v>829</v>
      </c>
      <c r="F107" t="s">
        <v>830</v>
      </c>
      <c r="G107" t="s">
        <v>831</v>
      </c>
      <c r="H107" t="s">
        <v>879</v>
      </c>
      <c r="I107" t="s">
        <v>880</v>
      </c>
    </row>
    <row r="108" spans="1:9">
      <c r="A108" t="s">
        <v>1000</v>
      </c>
      <c r="B108" t="s">
        <v>841</v>
      </c>
      <c r="C108" t="s">
        <v>458</v>
      </c>
      <c r="D108" t="s">
        <v>893</v>
      </c>
      <c r="E108" t="s">
        <v>790</v>
      </c>
      <c r="F108" t="s">
        <v>770</v>
      </c>
      <c r="G108" t="s">
        <v>772</v>
      </c>
      <c r="H108" t="s">
        <v>879</v>
      </c>
      <c r="I108" t="s">
        <v>880</v>
      </c>
    </row>
    <row r="109" spans="1:9">
      <c r="A109" t="s">
        <v>1001</v>
      </c>
      <c r="B109" t="s">
        <v>841</v>
      </c>
      <c r="C109" t="s">
        <v>458</v>
      </c>
      <c r="D109" t="s">
        <v>895</v>
      </c>
      <c r="E109" t="s">
        <v>790</v>
      </c>
      <c r="F109" t="s">
        <v>770</v>
      </c>
      <c r="G109" t="s">
        <v>772</v>
      </c>
      <c r="H109" t="s">
        <v>879</v>
      </c>
      <c r="I109" t="s">
        <v>880</v>
      </c>
    </row>
    <row r="110" spans="1:9">
      <c r="A110" t="s">
        <v>1002</v>
      </c>
      <c r="B110" t="s">
        <v>842</v>
      </c>
      <c r="C110" t="s">
        <v>464</v>
      </c>
      <c r="D110" t="s">
        <v>893</v>
      </c>
      <c r="E110" t="s">
        <v>790</v>
      </c>
      <c r="F110" t="s">
        <v>770</v>
      </c>
      <c r="G110" t="s">
        <v>772</v>
      </c>
      <c r="H110" t="s">
        <v>879</v>
      </c>
      <c r="I110" t="s">
        <v>880</v>
      </c>
    </row>
    <row r="111" spans="1:9">
      <c r="A111" t="s">
        <v>1003</v>
      </c>
      <c r="B111" t="s">
        <v>842</v>
      </c>
      <c r="C111" t="s">
        <v>464</v>
      </c>
      <c r="D111" t="s">
        <v>895</v>
      </c>
      <c r="E111" t="s">
        <v>790</v>
      </c>
      <c r="F111" t="s">
        <v>770</v>
      </c>
      <c r="G111" t="s">
        <v>772</v>
      </c>
      <c r="H111" t="s">
        <v>879</v>
      </c>
      <c r="I111" t="s">
        <v>880</v>
      </c>
    </row>
    <row r="112" spans="1:9">
      <c r="A112" t="s">
        <v>1004</v>
      </c>
      <c r="B112" t="s">
        <v>843</v>
      </c>
      <c r="C112" t="s">
        <v>474</v>
      </c>
      <c r="D112" t="s">
        <v>893</v>
      </c>
      <c r="E112" t="s">
        <v>790</v>
      </c>
      <c r="F112" t="s">
        <v>770</v>
      </c>
      <c r="G112" t="s">
        <v>772</v>
      </c>
      <c r="H112" t="s">
        <v>879</v>
      </c>
      <c r="I112" t="s">
        <v>880</v>
      </c>
    </row>
    <row r="113" spans="1:9">
      <c r="A113" t="s">
        <v>1005</v>
      </c>
      <c r="B113" t="s">
        <v>843</v>
      </c>
      <c r="C113" t="s">
        <v>474</v>
      </c>
      <c r="D113" t="s">
        <v>895</v>
      </c>
      <c r="E113" t="s">
        <v>790</v>
      </c>
      <c r="F113" t="s">
        <v>770</v>
      </c>
      <c r="G113" t="s">
        <v>772</v>
      </c>
      <c r="H113" t="s">
        <v>879</v>
      </c>
      <c r="I113" t="s">
        <v>880</v>
      </c>
    </row>
    <row r="114" spans="1:9">
      <c r="A114" t="s">
        <v>1006</v>
      </c>
      <c r="B114" t="s">
        <v>844</v>
      </c>
      <c r="C114" t="s">
        <v>481</v>
      </c>
      <c r="D114" t="s">
        <v>893</v>
      </c>
      <c r="E114" t="s">
        <v>798</v>
      </c>
      <c r="F114" t="s">
        <v>798</v>
      </c>
      <c r="G114" t="s">
        <v>772</v>
      </c>
      <c r="H114" t="s">
        <v>879</v>
      </c>
      <c r="I114" t="s">
        <v>880</v>
      </c>
    </row>
    <row r="115" spans="1:9">
      <c r="A115" t="s">
        <v>1007</v>
      </c>
      <c r="B115" t="s">
        <v>844</v>
      </c>
      <c r="C115" t="s">
        <v>481</v>
      </c>
      <c r="D115" t="s">
        <v>895</v>
      </c>
      <c r="E115" t="s">
        <v>798</v>
      </c>
      <c r="F115" t="s">
        <v>798</v>
      </c>
      <c r="G115" t="s">
        <v>772</v>
      </c>
      <c r="H115" t="s">
        <v>879</v>
      </c>
      <c r="I115" t="s">
        <v>880</v>
      </c>
    </row>
    <row r="116" spans="1:9">
      <c r="A116" t="s">
        <v>1008</v>
      </c>
      <c r="B116" t="s">
        <v>845</v>
      </c>
      <c r="C116" t="s">
        <v>485</v>
      </c>
      <c r="D116" t="s">
        <v>893</v>
      </c>
      <c r="E116" t="s">
        <v>798</v>
      </c>
      <c r="F116" t="s">
        <v>798</v>
      </c>
      <c r="G116" t="s">
        <v>772</v>
      </c>
      <c r="H116" t="s">
        <v>879</v>
      </c>
      <c r="I116" t="s">
        <v>880</v>
      </c>
    </row>
    <row r="117" spans="1:9">
      <c r="A117" t="s">
        <v>1009</v>
      </c>
      <c r="B117" t="s">
        <v>845</v>
      </c>
      <c r="C117" t="s">
        <v>485</v>
      </c>
      <c r="D117" t="s">
        <v>895</v>
      </c>
      <c r="E117" t="s">
        <v>798</v>
      </c>
      <c r="F117" t="s">
        <v>798</v>
      </c>
      <c r="G117" t="s">
        <v>772</v>
      </c>
      <c r="H117" t="s">
        <v>879</v>
      </c>
      <c r="I117" t="s">
        <v>880</v>
      </c>
    </row>
    <row r="118" spans="1:9">
      <c r="A118" t="s">
        <v>1010</v>
      </c>
      <c r="B118" t="s">
        <v>846</v>
      </c>
      <c r="C118" t="s">
        <v>491</v>
      </c>
      <c r="D118" t="s">
        <v>893</v>
      </c>
      <c r="E118" t="s">
        <v>798</v>
      </c>
      <c r="F118" t="s">
        <v>798</v>
      </c>
      <c r="G118" t="s">
        <v>772</v>
      </c>
      <c r="H118" t="s">
        <v>879</v>
      </c>
      <c r="I118" t="s">
        <v>880</v>
      </c>
    </row>
    <row r="119" spans="1:9">
      <c r="A119" t="s">
        <v>1011</v>
      </c>
      <c r="B119" t="s">
        <v>846</v>
      </c>
      <c r="C119" t="s">
        <v>491</v>
      </c>
      <c r="D119" t="s">
        <v>895</v>
      </c>
      <c r="E119" t="s">
        <v>798</v>
      </c>
      <c r="F119" t="s">
        <v>798</v>
      </c>
      <c r="G119" t="s">
        <v>772</v>
      </c>
      <c r="H119" t="s">
        <v>879</v>
      </c>
      <c r="I119" t="s">
        <v>880</v>
      </c>
    </row>
    <row r="120" spans="1:9">
      <c r="A120" t="s">
        <v>1012</v>
      </c>
      <c r="B120" t="s">
        <v>847</v>
      </c>
      <c r="C120" t="s">
        <v>496</v>
      </c>
      <c r="D120" t="s">
        <v>893</v>
      </c>
      <c r="E120" t="s">
        <v>774</v>
      </c>
      <c r="F120" t="s">
        <v>770</v>
      </c>
      <c r="G120" t="s">
        <v>772</v>
      </c>
      <c r="H120" t="s">
        <v>879</v>
      </c>
      <c r="I120" t="s">
        <v>880</v>
      </c>
    </row>
    <row r="121" spans="1:9">
      <c r="A121" t="s">
        <v>1013</v>
      </c>
      <c r="B121" t="s">
        <v>847</v>
      </c>
      <c r="C121" t="s">
        <v>496</v>
      </c>
      <c r="D121" t="s">
        <v>895</v>
      </c>
      <c r="E121" t="s">
        <v>774</v>
      </c>
      <c r="F121" t="s">
        <v>770</v>
      </c>
      <c r="G121" t="s">
        <v>772</v>
      </c>
      <c r="H121" t="s">
        <v>879</v>
      </c>
      <c r="I121" t="s">
        <v>880</v>
      </c>
    </row>
    <row r="122" spans="1:9">
      <c r="A122" t="s">
        <v>1014</v>
      </c>
      <c r="B122" t="s">
        <v>848</v>
      </c>
      <c r="C122" t="s">
        <v>504</v>
      </c>
      <c r="D122" t="s">
        <v>893</v>
      </c>
      <c r="E122" t="s">
        <v>790</v>
      </c>
      <c r="F122" t="s">
        <v>770</v>
      </c>
      <c r="G122" t="s">
        <v>772</v>
      </c>
      <c r="H122" t="s">
        <v>879</v>
      </c>
      <c r="I122" t="s">
        <v>880</v>
      </c>
    </row>
    <row r="123" spans="1:9">
      <c r="A123" t="s">
        <v>1015</v>
      </c>
      <c r="B123" t="s">
        <v>848</v>
      </c>
      <c r="C123" t="s">
        <v>504</v>
      </c>
      <c r="D123" t="s">
        <v>895</v>
      </c>
      <c r="E123" t="s">
        <v>790</v>
      </c>
      <c r="F123" t="s">
        <v>770</v>
      </c>
      <c r="G123" t="s">
        <v>772</v>
      </c>
      <c r="H123" t="s">
        <v>879</v>
      </c>
      <c r="I123" t="s">
        <v>880</v>
      </c>
    </row>
    <row r="124" spans="1:9">
      <c r="A124" t="s">
        <v>1016</v>
      </c>
      <c r="B124" t="s">
        <v>849</v>
      </c>
      <c r="C124" t="s">
        <v>512</v>
      </c>
      <c r="D124" t="s">
        <v>893</v>
      </c>
      <c r="E124" t="s">
        <v>790</v>
      </c>
      <c r="F124" t="s">
        <v>770</v>
      </c>
      <c r="G124" t="s">
        <v>772</v>
      </c>
      <c r="H124" t="s">
        <v>879</v>
      </c>
      <c r="I124" t="s">
        <v>880</v>
      </c>
    </row>
    <row r="125" spans="1:9">
      <c r="A125" t="s">
        <v>1017</v>
      </c>
      <c r="B125" t="s">
        <v>849</v>
      </c>
      <c r="C125" t="s">
        <v>512</v>
      </c>
      <c r="D125" t="s">
        <v>895</v>
      </c>
      <c r="E125" t="s">
        <v>790</v>
      </c>
      <c r="F125" t="s">
        <v>770</v>
      </c>
      <c r="G125" t="s">
        <v>772</v>
      </c>
      <c r="H125" t="s">
        <v>879</v>
      </c>
      <c r="I125" t="s">
        <v>880</v>
      </c>
    </row>
    <row r="126" spans="1:9">
      <c r="A126" t="s">
        <v>1018</v>
      </c>
      <c r="B126" t="s">
        <v>850</v>
      </c>
      <c r="C126" t="s">
        <v>517</v>
      </c>
      <c r="D126" t="s">
        <v>893</v>
      </c>
      <c r="E126" t="s">
        <v>790</v>
      </c>
      <c r="F126" t="s">
        <v>770</v>
      </c>
      <c r="G126" t="s">
        <v>772</v>
      </c>
      <c r="H126" t="s">
        <v>879</v>
      </c>
      <c r="I126" t="s">
        <v>880</v>
      </c>
    </row>
    <row r="127" spans="1:9">
      <c r="A127" t="s">
        <v>1019</v>
      </c>
      <c r="B127" t="s">
        <v>850</v>
      </c>
      <c r="C127" t="s">
        <v>517</v>
      </c>
      <c r="D127" t="s">
        <v>895</v>
      </c>
      <c r="E127" t="s">
        <v>790</v>
      </c>
      <c r="F127" t="s">
        <v>770</v>
      </c>
      <c r="G127" t="s">
        <v>772</v>
      </c>
      <c r="H127" t="s">
        <v>879</v>
      </c>
      <c r="I127" t="s">
        <v>880</v>
      </c>
    </row>
    <row r="128" spans="1:9">
      <c r="A128" t="s">
        <v>1020</v>
      </c>
      <c r="B128" t="s">
        <v>851</v>
      </c>
      <c r="C128" t="s">
        <v>526</v>
      </c>
      <c r="D128" t="s">
        <v>893</v>
      </c>
      <c r="E128" t="s">
        <v>790</v>
      </c>
      <c r="F128" t="s">
        <v>770</v>
      </c>
      <c r="G128" t="s">
        <v>772</v>
      </c>
      <c r="H128" t="s">
        <v>879</v>
      </c>
      <c r="I128" t="s">
        <v>880</v>
      </c>
    </row>
    <row r="129" spans="1:9">
      <c r="A129" t="s">
        <v>1021</v>
      </c>
      <c r="B129" t="s">
        <v>851</v>
      </c>
      <c r="C129" t="s">
        <v>526</v>
      </c>
      <c r="D129" t="s">
        <v>895</v>
      </c>
      <c r="E129" t="s">
        <v>790</v>
      </c>
      <c r="F129" t="s">
        <v>770</v>
      </c>
      <c r="G129" t="s">
        <v>772</v>
      </c>
      <c r="H129" t="s">
        <v>879</v>
      </c>
      <c r="I129" t="s">
        <v>880</v>
      </c>
    </row>
    <row r="130" spans="1:9">
      <c r="A130" t="s">
        <v>1022</v>
      </c>
      <c r="B130" t="s">
        <v>852</v>
      </c>
      <c r="C130" t="s">
        <v>531</v>
      </c>
      <c r="D130" t="s">
        <v>893</v>
      </c>
      <c r="E130" t="s">
        <v>790</v>
      </c>
      <c r="F130" t="s">
        <v>770</v>
      </c>
      <c r="G130" t="s">
        <v>772</v>
      </c>
      <c r="H130" t="s">
        <v>879</v>
      </c>
      <c r="I130" t="s">
        <v>880</v>
      </c>
    </row>
    <row r="131" spans="1:9">
      <c r="A131" t="s">
        <v>1023</v>
      </c>
      <c r="B131" t="s">
        <v>852</v>
      </c>
      <c r="C131" t="s">
        <v>531</v>
      </c>
      <c r="D131" t="s">
        <v>895</v>
      </c>
      <c r="E131" t="s">
        <v>790</v>
      </c>
      <c r="F131" t="s">
        <v>770</v>
      </c>
      <c r="G131" t="s">
        <v>772</v>
      </c>
      <c r="H131" t="s">
        <v>879</v>
      </c>
      <c r="I131" t="s">
        <v>880</v>
      </c>
    </row>
    <row r="132" spans="1:9">
      <c r="A132" t="s">
        <v>1024</v>
      </c>
      <c r="B132" t="s">
        <v>853</v>
      </c>
      <c r="C132" t="s">
        <v>537</v>
      </c>
      <c r="D132" t="s">
        <v>893</v>
      </c>
      <c r="E132" t="s">
        <v>790</v>
      </c>
      <c r="F132" t="s">
        <v>770</v>
      </c>
      <c r="G132" t="s">
        <v>772</v>
      </c>
      <c r="H132" t="s">
        <v>879</v>
      </c>
      <c r="I132" t="s">
        <v>880</v>
      </c>
    </row>
    <row r="133" spans="1:9">
      <c r="A133" t="s">
        <v>1025</v>
      </c>
      <c r="B133" t="s">
        <v>853</v>
      </c>
      <c r="C133" t="s">
        <v>537</v>
      </c>
      <c r="D133" t="s">
        <v>895</v>
      </c>
      <c r="E133" t="s">
        <v>790</v>
      </c>
      <c r="F133" t="s">
        <v>770</v>
      </c>
      <c r="G133" t="s">
        <v>772</v>
      </c>
      <c r="H133" t="s">
        <v>879</v>
      </c>
      <c r="I133" t="s">
        <v>880</v>
      </c>
    </row>
    <row r="134" spans="1:9">
      <c r="A134" t="s">
        <v>1026</v>
      </c>
      <c r="B134" t="s">
        <v>854</v>
      </c>
      <c r="C134" t="s">
        <v>548</v>
      </c>
      <c r="D134" t="s">
        <v>893</v>
      </c>
      <c r="E134" t="s">
        <v>790</v>
      </c>
      <c r="F134" t="s">
        <v>770</v>
      </c>
      <c r="G134" t="s">
        <v>772</v>
      </c>
      <c r="H134" t="s">
        <v>879</v>
      </c>
      <c r="I134" t="s">
        <v>880</v>
      </c>
    </row>
    <row r="135" spans="1:9">
      <c r="A135" t="s">
        <v>1027</v>
      </c>
      <c r="B135" t="s">
        <v>854</v>
      </c>
      <c r="C135" t="s">
        <v>548</v>
      </c>
      <c r="D135" t="s">
        <v>895</v>
      </c>
      <c r="E135" t="s">
        <v>790</v>
      </c>
      <c r="F135" t="s">
        <v>770</v>
      </c>
      <c r="G135" t="s">
        <v>772</v>
      </c>
      <c r="H135" t="s">
        <v>879</v>
      </c>
      <c r="I135" t="s">
        <v>880</v>
      </c>
    </row>
    <row r="136" spans="1:9">
      <c r="A136" t="s">
        <v>1028</v>
      </c>
      <c r="B136" t="s">
        <v>855</v>
      </c>
      <c r="C136" t="s">
        <v>555</v>
      </c>
      <c r="D136" t="s">
        <v>893</v>
      </c>
      <c r="E136" t="s">
        <v>790</v>
      </c>
      <c r="F136" t="s">
        <v>770</v>
      </c>
      <c r="G136" t="s">
        <v>772</v>
      </c>
      <c r="H136" t="s">
        <v>879</v>
      </c>
      <c r="I136" t="s">
        <v>880</v>
      </c>
    </row>
    <row r="137" spans="1:9">
      <c r="A137" t="s">
        <v>1029</v>
      </c>
      <c r="B137" t="s">
        <v>855</v>
      </c>
      <c r="C137" t="s">
        <v>555</v>
      </c>
      <c r="D137" t="s">
        <v>895</v>
      </c>
      <c r="E137" t="s">
        <v>790</v>
      </c>
      <c r="F137" t="s">
        <v>770</v>
      </c>
      <c r="G137" t="s">
        <v>772</v>
      </c>
      <c r="H137" t="s">
        <v>879</v>
      </c>
      <c r="I137" t="s">
        <v>880</v>
      </c>
    </row>
    <row r="138" spans="1:9">
      <c r="A138" t="s">
        <v>1030</v>
      </c>
      <c r="B138" t="s">
        <v>856</v>
      </c>
      <c r="C138" t="s">
        <v>561</v>
      </c>
      <c r="D138" t="s">
        <v>893</v>
      </c>
      <c r="E138" t="s">
        <v>790</v>
      </c>
      <c r="F138" t="s">
        <v>770</v>
      </c>
      <c r="G138" t="s">
        <v>772</v>
      </c>
      <c r="H138" t="s">
        <v>879</v>
      </c>
      <c r="I138" t="s">
        <v>880</v>
      </c>
    </row>
    <row r="139" spans="1:9">
      <c r="A139" t="s">
        <v>1031</v>
      </c>
      <c r="B139" t="s">
        <v>856</v>
      </c>
      <c r="C139" t="s">
        <v>561</v>
      </c>
      <c r="D139" t="s">
        <v>895</v>
      </c>
      <c r="E139" t="s">
        <v>790</v>
      </c>
      <c r="F139" t="s">
        <v>770</v>
      </c>
      <c r="G139" t="s">
        <v>772</v>
      </c>
      <c r="H139" t="s">
        <v>879</v>
      </c>
      <c r="I139" t="s">
        <v>880</v>
      </c>
    </row>
    <row r="140" spans="1:9">
      <c r="A140" t="s">
        <v>1032</v>
      </c>
      <c r="B140" t="s">
        <v>857</v>
      </c>
      <c r="C140" t="s">
        <v>567</v>
      </c>
      <c r="D140" t="s">
        <v>893</v>
      </c>
      <c r="E140" t="s">
        <v>790</v>
      </c>
      <c r="F140" t="s">
        <v>770</v>
      </c>
      <c r="G140" t="s">
        <v>772</v>
      </c>
      <c r="H140" t="s">
        <v>879</v>
      </c>
      <c r="I140" t="s">
        <v>880</v>
      </c>
    </row>
    <row r="141" spans="1:9">
      <c r="A141" t="s">
        <v>1033</v>
      </c>
      <c r="B141" t="s">
        <v>857</v>
      </c>
      <c r="C141" t="s">
        <v>567</v>
      </c>
      <c r="D141" t="s">
        <v>895</v>
      </c>
      <c r="E141" t="s">
        <v>790</v>
      </c>
      <c r="F141" t="s">
        <v>770</v>
      </c>
      <c r="G141" t="s">
        <v>772</v>
      </c>
      <c r="H141" t="s">
        <v>879</v>
      </c>
      <c r="I141" t="s">
        <v>880</v>
      </c>
    </row>
    <row r="142" spans="1:9">
      <c r="A142" t="s">
        <v>1034</v>
      </c>
      <c r="B142" t="s">
        <v>858</v>
      </c>
      <c r="C142" t="s">
        <v>573</v>
      </c>
      <c r="D142" t="s">
        <v>893</v>
      </c>
      <c r="E142" t="s">
        <v>790</v>
      </c>
      <c r="F142" t="s">
        <v>770</v>
      </c>
      <c r="G142" t="s">
        <v>772</v>
      </c>
      <c r="H142" t="s">
        <v>879</v>
      </c>
      <c r="I142" t="s">
        <v>880</v>
      </c>
    </row>
    <row r="143" spans="1:9">
      <c r="A143" t="s">
        <v>1035</v>
      </c>
      <c r="B143" t="s">
        <v>858</v>
      </c>
      <c r="C143" t="s">
        <v>573</v>
      </c>
      <c r="D143" t="s">
        <v>895</v>
      </c>
      <c r="E143" t="s">
        <v>790</v>
      </c>
      <c r="F143" t="s">
        <v>770</v>
      </c>
      <c r="G143" t="s">
        <v>772</v>
      </c>
      <c r="H143" t="s">
        <v>879</v>
      </c>
      <c r="I143" t="s">
        <v>880</v>
      </c>
    </row>
    <row r="144" spans="1:9">
      <c r="A144" t="s">
        <v>1036</v>
      </c>
      <c r="B144" t="s">
        <v>859</v>
      </c>
      <c r="C144" t="s">
        <v>579</v>
      </c>
      <c r="D144" t="s">
        <v>893</v>
      </c>
      <c r="E144" t="s">
        <v>790</v>
      </c>
      <c r="F144" t="s">
        <v>770</v>
      </c>
      <c r="G144" t="s">
        <v>772</v>
      </c>
      <c r="H144" t="s">
        <v>879</v>
      </c>
      <c r="I144" t="s">
        <v>880</v>
      </c>
    </row>
    <row r="145" spans="1:9">
      <c r="A145" t="s">
        <v>1037</v>
      </c>
      <c r="B145" t="s">
        <v>859</v>
      </c>
      <c r="C145" t="s">
        <v>579</v>
      </c>
      <c r="D145" t="s">
        <v>895</v>
      </c>
      <c r="E145" t="s">
        <v>790</v>
      </c>
      <c r="F145" t="s">
        <v>770</v>
      </c>
      <c r="G145" t="s">
        <v>772</v>
      </c>
      <c r="H145" t="s">
        <v>879</v>
      </c>
      <c r="I145" t="s">
        <v>880</v>
      </c>
    </row>
    <row r="146" spans="1:9">
      <c r="A146" t="s">
        <v>1038</v>
      </c>
      <c r="B146" t="s">
        <v>860</v>
      </c>
      <c r="C146" t="s">
        <v>586</v>
      </c>
      <c r="D146" t="s">
        <v>893</v>
      </c>
      <c r="E146" t="s">
        <v>790</v>
      </c>
      <c r="F146" t="s">
        <v>770</v>
      </c>
      <c r="G146" t="s">
        <v>772</v>
      </c>
      <c r="H146" t="s">
        <v>879</v>
      </c>
      <c r="I146" t="s">
        <v>880</v>
      </c>
    </row>
    <row r="147" spans="1:9">
      <c r="A147" t="s">
        <v>1039</v>
      </c>
      <c r="B147" t="s">
        <v>860</v>
      </c>
      <c r="C147" t="s">
        <v>586</v>
      </c>
      <c r="D147" t="s">
        <v>895</v>
      </c>
      <c r="E147" t="s">
        <v>790</v>
      </c>
      <c r="F147" t="s">
        <v>770</v>
      </c>
      <c r="G147" t="s">
        <v>772</v>
      </c>
      <c r="H147" t="s">
        <v>879</v>
      </c>
      <c r="I147" t="s">
        <v>880</v>
      </c>
    </row>
    <row r="148" spans="1:9">
      <c r="A148" t="s">
        <v>1040</v>
      </c>
      <c r="B148" t="s">
        <v>861</v>
      </c>
      <c r="C148" t="s">
        <v>593</v>
      </c>
      <c r="D148" t="s">
        <v>893</v>
      </c>
      <c r="E148" t="s">
        <v>790</v>
      </c>
      <c r="F148" t="s">
        <v>770</v>
      </c>
      <c r="G148" t="s">
        <v>772</v>
      </c>
      <c r="H148" t="s">
        <v>879</v>
      </c>
      <c r="I148" t="s">
        <v>880</v>
      </c>
    </row>
    <row r="149" spans="1:9">
      <c r="A149" t="s">
        <v>1041</v>
      </c>
      <c r="B149" t="s">
        <v>861</v>
      </c>
      <c r="C149" t="s">
        <v>593</v>
      </c>
      <c r="D149" t="s">
        <v>895</v>
      </c>
      <c r="E149" t="s">
        <v>790</v>
      </c>
      <c r="F149" t="s">
        <v>770</v>
      </c>
      <c r="G149" t="s">
        <v>772</v>
      </c>
      <c r="H149" t="s">
        <v>879</v>
      </c>
      <c r="I149" t="s">
        <v>880</v>
      </c>
    </row>
    <row r="150" spans="1:9">
      <c r="A150" t="s">
        <v>1042</v>
      </c>
      <c r="B150" t="s">
        <v>862</v>
      </c>
      <c r="C150" t="s">
        <v>598</v>
      </c>
      <c r="D150" t="s">
        <v>893</v>
      </c>
      <c r="E150" t="s">
        <v>790</v>
      </c>
      <c r="F150" t="s">
        <v>770</v>
      </c>
      <c r="G150" t="s">
        <v>772</v>
      </c>
      <c r="H150" t="s">
        <v>879</v>
      </c>
      <c r="I150" t="s">
        <v>880</v>
      </c>
    </row>
    <row r="151" spans="1:9">
      <c r="A151" t="s">
        <v>1043</v>
      </c>
      <c r="B151" t="s">
        <v>862</v>
      </c>
      <c r="C151" t="s">
        <v>598</v>
      </c>
      <c r="D151" t="s">
        <v>895</v>
      </c>
      <c r="E151" t="s">
        <v>790</v>
      </c>
      <c r="F151" t="s">
        <v>770</v>
      </c>
      <c r="G151" t="s">
        <v>772</v>
      </c>
      <c r="H151" t="s">
        <v>879</v>
      </c>
      <c r="I151" t="s">
        <v>880</v>
      </c>
    </row>
    <row r="152" spans="1:9">
      <c r="A152" t="s">
        <v>1044</v>
      </c>
      <c r="B152" t="s">
        <v>863</v>
      </c>
      <c r="C152" t="s">
        <v>605</v>
      </c>
      <c r="D152" t="s">
        <v>893</v>
      </c>
      <c r="E152" t="s">
        <v>790</v>
      </c>
      <c r="F152" t="s">
        <v>770</v>
      </c>
      <c r="G152" t="s">
        <v>772</v>
      </c>
      <c r="H152" t="s">
        <v>879</v>
      </c>
      <c r="I152" t="s">
        <v>880</v>
      </c>
    </row>
    <row r="153" spans="1:9">
      <c r="A153" t="s">
        <v>1045</v>
      </c>
      <c r="B153" t="s">
        <v>863</v>
      </c>
      <c r="C153" t="s">
        <v>605</v>
      </c>
      <c r="D153" t="s">
        <v>895</v>
      </c>
      <c r="E153" t="s">
        <v>790</v>
      </c>
      <c r="F153" t="s">
        <v>770</v>
      </c>
      <c r="G153" t="s">
        <v>772</v>
      </c>
      <c r="H153" t="s">
        <v>879</v>
      </c>
      <c r="I153" t="s">
        <v>880</v>
      </c>
    </row>
    <row r="154" spans="1:9">
      <c r="A154" t="s">
        <v>1046</v>
      </c>
      <c r="B154" t="s">
        <v>864</v>
      </c>
      <c r="C154" t="s">
        <v>611</v>
      </c>
      <c r="D154" t="s">
        <v>893</v>
      </c>
      <c r="E154" t="s">
        <v>790</v>
      </c>
      <c r="F154" t="s">
        <v>770</v>
      </c>
      <c r="G154" t="s">
        <v>772</v>
      </c>
      <c r="H154" t="s">
        <v>879</v>
      </c>
      <c r="I154" t="s">
        <v>880</v>
      </c>
    </row>
    <row r="155" spans="1:9">
      <c r="A155" t="s">
        <v>1047</v>
      </c>
      <c r="B155" t="s">
        <v>864</v>
      </c>
      <c r="C155" t="s">
        <v>611</v>
      </c>
      <c r="D155" t="s">
        <v>895</v>
      </c>
      <c r="E155" t="s">
        <v>790</v>
      </c>
      <c r="F155" t="s">
        <v>770</v>
      </c>
      <c r="G155" t="s">
        <v>772</v>
      </c>
      <c r="H155" t="s">
        <v>879</v>
      </c>
      <c r="I155" t="s">
        <v>880</v>
      </c>
    </row>
    <row r="156" spans="1:9">
      <c r="A156" t="s">
        <v>1048</v>
      </c>
      <c r="B156" t="s">
        <v>865</v>
      </c>
      <c r="C156" t="s">
        <v>617</v>
      </c>
      <c r="D156" t="s">
        <v>893</v>
      </c>
      <c r="E156" t="s">
        <v>790</v>
      </c>
      <c r="F156" t="s">
        <v>770</v>
      </c>
      <c r="G156" t="s">
        <v>772</v>
      </c>
      <c r="H156" t="s">
        <v>879</v>
      </c>
      <c r="I156" t="s">
        <v>880</v>
      </c>
    </row>
    <row r="157" spans="1:9">
      <c r="A157" t="s">
        <v>1049</v>
      </c>
      <c r="B157" t="s">
        <v>865</v>
      </c>
      <c r="C157" t="s">
        <v>617</v>
      </c>
      <c r="D157" t="s">
        <v>895</v>
      </c>
      <c r="E157" t="s">
        <v>790</v>
      </c>
      <c r="F157" t="s">
        <v>770</v>
      </c>
      <c r="G157" t="s">
        <v>772</v>
      </c>
      <c r="H157" t="s">
        <v>879</v>
      </c>
      <c r="I157" t="s">
        <v>880</v>
      </c>
    </row>
    <row r="158" spans="1:9">
      <c r="A158" t="s">
        <v>1050</v>
      </c>
      <c r="B158" t="s">
        <v>866</v>
      </c>
      <c r="C158" t="s">
        <v>623</v>
      </c>
      <c r="D158" t="s">
        <v>893</v>
      </c>
      <c r="E158" t="s">
        <v>790</v>
      </c>
      <c r="F158" t="s">
        <v>770</v>
      </c>
      <c r="G158" t="s">
        <v>772</v>
      </c>
      <c r="H158" t="s">
        <v>879</v>
      </c>
      <c r="I158" t="s">
        <v>880</v>
      </c>
    </row>
    <row r="159" spans="1:9">
      <c r="A159" t="s">
        <v>1051</v>
      </c>
      <c r="B159" t="s">
        <v>866</v>
      </c>
      <c r="C159" t="s">
        <v>623</v>
      </c>
      <c r="D159" t="s">
        <v>895</v>
      </c>
      <c r="E159" t="s">
        <v>790</v>
      </c>
      <c r="F159" t="s">
        <v>770</v>
      </c>
      <c r="G159" t="s">
        <v>772</v>
      </c>
      <c r="H159" t="s">
        <v>879</v>
      </c>
      <c r="I159" t="s">
        <v>880</v>
      </c>
    </row>
    <row r="160" spans="1:9">
      <c r="A160" t="s">
        <v>1052</v>
      </c>
      <c r="B160" t="s">
        <v>867</v>
      </c>
      <c r="C160" t="s">
        <v>629</v>
      </c>
      <c r="D160" t="s">
        <v>893</v>
      </c>
      <c r="E160" t="s">
        <v>790</v>
      </c>
      <c r="F160" t="s">
        <v>770</v>
      </c>
      <c r="G160" t="s">
        <v>772</v>
      </c>
      <c r="H160" t="s">
        <v>879</v>
      </c>
      <c r="I160" t="s">
        <v>880</v>
      </c>
    </row>
    <row r="161" spans="1:9">
      <c r="A161" t="s">
        <v>1053</v>
      </c>
      <c r="B161" t="s">
        <v>867</v>
      </c>
      <c r="C161" t="s">
        <v>629</v>
      </c>
      <c r="D161" t="s">
        <v>895</v>
      </c>
      <c r="E161" t="s">
        <v>790</v>
      </c>
      <c r="F161" t="s">
        <v>770</v>
      </c>
      <c r="G161" t="s">
        <v>772</v>
      </c>
      <c r="H161" t="s">
        <v>879</v>
      </c>
      <c r="I161" t="s">
        <v>880</v>
      </c>
    </row>
    <row r="162" spans="1:9">
      <c r="A162" t="s">
        <v>1054</v>
      </c>
      <c r="B162" t="s">
        <v>868</v>
      </c>
      <c r="C162" t="s">
        <v>635</v>
      </c>
      <c r="D162" t="s">
        <v>893</v>
      </c>
      <c r="E162" t="s">
        <v>798</v>
      </c>
      <c r="F162" t="s">
        <v>798</v>
      </c>
      <c r="G162" t="s">
        <v>772</v>
      </c>
      <c r="H162" t="s">
        <v>879</v>
      </c>
      <c r="I162" t="s">
        <v>880</v>
      </c>
    </row>
    <row r="163" spans="1:9">
      <c r="A163" t="s">
        <v>1055</v>
      </c>
      <c r="B163" t="s">
        <v>868</v>
      </c>
      <c r="C163" t="s">
        <v>635</v>
      </c>
      <c r="D163" t="s">
        <v>895</v>
      </c>
      <c r="E163" t="s">
        <v>798</v>
      </c>
      <c r="F163" t="s">
        <v>798</v>
      </c>
      <c r="G163" t="s">
        <v>772</v>
      </c>
      <c r="H163" t="s">
        <v>879</v>
      </c>
      <c r="I163" t="s">
        <v>880</v>
      </c>
    </row>
    <row r="164" spans="1:9">
      <c r="A164" t="s">
        <v>1056</v>
      </c>
      <c r="B164" t="s">
        <v>869</v>
      </c>
      <c r="C164" t="s">
        <v>641</v>
      </c>
      <c r="D164" t="s">
        <v>893</v>
      </c>
      <c r="E164" t="s">
        <v>790</v>
      </c>
      <c r="F164" t="s">
        <v>770</v>
      </c>
      <c r="G164" t="s">
        <v>772</v>
      </c>
      <c r="H164" t="s">
        <v>879</v>
      </c>
      <c r="I164" t="s">
        <v>880</v>
      </c>
    </row>
    <row r="165" spans="1:9">
      <c r="A165" t="s">
        <v>1057</v>
      </c>
      <c r="B165" t="s">
        <v>869</v>
      </c>
      <c r="C165" t="s">
        <v>641</v>
      </c>
      <c r="D165" t="s">
        <v>895</v>
      </c>
      <c r="E165" t="s">
        <v>790</v>
      </c>
      <c r="F165" t="s">
        <v>770</v>
      </c>
      <c r="G165" t="s">
        <v>772</v>
      </c>
      <c r="H165" t="s">
        <v>879</v>
      </c>
      <c r="I165" t="s">
        <v>880</v>
      </c>
    </row>
    <row r="166" spans="1:9">
      <c r="A166" t="s">
        <v>1058</v>
      </c>
      <c r="B166" t="s">
        <v>870</v>
      </c>
      <c r="C166" t="s">
        <v>647</v>
      </c>
      <c r="D166" t="s">
        <v>893</v>
      </c>
      <c r="E166" t="s">
        <v>798</v>
      </c>
      <c r="F166" t="s">
        <v>798</v>
      </c>
      <c r="G166" t="s">
        <v>772</v>
      </c>
      <c r="H166" t="s">
        <v>879</v>
      </c>
      <c r="I166" t="s">
        <v>880</v>
      </c>
    </row>
    <row r="167" spans="1:9">
      <c r="A167" t="s">
        <v>1059</v>
      </c>
      <c r="B167" t="s">
        <v>870</v>
      </c>
      <c r="C167" t="s">
        <v>647</v>
      </c>
      <c r="D167" t="s">
        <v>895</v>
      </c>
      <c r="E167" t="s">
        <v>798</v>
      </c>
      <c r="F167" t="s">
        <v>798</v>
      </c>
      <c r="G167" t="s">
        <v>772</v>
      </c>
      <c r="H167" t="s">
        <v>879</v>
      </c>
      <c r="I167" t="s">
        <v>880</v>
      </c>
    </row>
    <row r="168" spans="1:9">
      <c r="A168" t="s">
        <v>1060</v>
      </c>
      <c r="B168" t="s">
        <v>871</v>
      </c>
      <c r="C168" t="s">
        <v>651</v>
      </c>
      <c r="D168" t="s">
        <v>893</v>
      </c>
      <c r="E168" t="s">
        <v>872</v>
      </c>
      <c r="F168" t="s">
        <v>770</v>
      </c>
      <c r="G168" t="s">
        <v>780</v>
      </c>
      <c r="H168" t="s">
        <v>879</v>
      </c>
      <c r="I168" t="s">
        <v>880</v>
      </c>
    </row>
    <row r="169" spans="1:9">
      <c r="A169" t="s">
        <v>1061</v>
      </c>
      <c r="B169" t="s">
        <v>871</v>
      </c>
      <c r="C169" t="s">
        <v>651</v>
      </c>
      <c r="D169" t="s">
        <v>895</v>
      </c>
      <c r="E169" t="s">
        <v>872</v>
      </c>
      <c r="F169" t="s">
        <v>770</v>
      </c>
      <c r="G169" t="s">
        <v>780</v>
      </c>
      <c r="H169" t="s">
        <v>879</v>
      </c>
      <c r="I169" t="s">
        <v>880</v>
      </c>
    </row>
    <row r="170" spans="1:9">
      <c r="A170" t="s">
        <v>1062</v>
      </c>
      <c r="B170" t="s">
        <v>873</v>
      </c>
      <c r="C170" t="s">
        <v>655</v>
      </c>
      <c r="D170" t="s">
        <v>893</v>
      </c>
      <c r="E170" t="s">
        <v>872</v>
      </c>
      <c r="F170" t="s">
        <v>770</v>
      </c>
      <c r="G170" t="s">
        <v>780</v>
      </c>
      <c r="H170" t="s">
        <v>879</v>
      </c>
      <c r="I170" t="s">
        <v>880</v>
      </c>
    </row>
    <row r="171" spans="1:9">
      <c r="A171" t="s">
        <v>1063</v>
      </c>
      <c r="B171" t="s">
        <v>873</v>
      </c>
      <c r="C171" t="s">
        <v>655</v>
      </c>
      <c r="D171" t="s">
        <v>895</v>
      </c>
      <c r="E171" t="s">
        <v>872</v>
      </c>
      <c r="F171" t="s">
        <v>770</v>
      </c>
      <c r="G171" t="s">
        <v>780</v>
      </c>
      <c r="H171" t="s">
        <v>879</v>
      </c>
      <c r="I171" t="s">
        <v>880</v>
      </c>
    </row>
    <row r="172" spans="1:9">
      <c r="A172" t="s">
        <v>1064</v>
      </c>
      <c r="B172" t="s">
        <v>874</v>
      </c>
      <c r="C172" t="s">
        <v>658</v>
      </c>
      <c r="D172" t="s">
        <v>893</v>
      </c>
      <c r="E172" t="s">
        <v>872</v>
      </c>
      <c r="F172" t="s">
        <v>770</v>
      </c>
      <c r="G172" t="s">
        <v>780</v>
      </c>
      <c r="H172" t="s">
        <v>879</v>
      </c>
      <c r="I172" t="s">
        <v>880</v>
      </c>
    </row>
    <row r="173" spans="1:9">
      <c r="A173" t="s">
        <v>1065</v>
      </c>
      <c r="B173" t="s">
        <v>874</v>
      </c>
      <c r="C173" t="s">
        <v>658</v>
      </c>
      <c r="D173" t="s">
        <v>895</v>
      </c>
      <c r="E173" t="s">
        <v>872</v>
      </c>
      <c r="F173" t="s">
        <v>770</v>
      </c>
      <c r="G173" t="s">
        <v>780</v>
      </c>
      <c r="H173" t="s">
        <v>879</v>
      </c>
      <c r="I173" t="s">
        <v>880</v>
      </c>
    </row>
    <row r="174" spans="1:9">
      <c r="A174" t="s">
        <v>1066</v>
      </c>
      <c r="B174" t="s">
        <v>875</v>
      </c>
      <c r="C174" t="s">
        <v>664</v>
      </c>
      <c r="D174" t="s">
        <v>893</v>
      </c>
      <c r="E174" t="s">
        <v>829</v>
      </c>
      <c r="F174" t="s">
        <v>830</v>
      </c>
      <c r="G174" t="s">
        <v>831</v>
      </c>
      <c r="H174" t="s">
        <v>879</v>
      </c>
      <c r="I174" t="s">
        <v>880</v>
      </c>
    </row>
    <row r="175" spans="1:9">
      <c r="A175" t="s">
        <v>1067</v>
      </c>
      <c r="B175" t="s">
        <v>875</v>
      </c>
      <c r="C175" t="s">
        <v>664</v>
      </c>
      <c r="D175" t="s">
        <v>895</v>
      </c>
      <c r="E175" t="s">
        <v>829</v>
      </c>
      <c r="F175" t="s">
        <v>830</v>
      </c>
      <c r="G175" t="s">
        <v>831</v>
      </c>
      <c r="H175" t="s">
        <v>879</v>
      </c>
      <c r="I175" t="s">
        <v>880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B4BA-2E1D-4F88-BB1D-432FA6701168}">
  <dimension ref="A1:R175"/>
  <sheetViews>
    <sheetView topLeftCell="E1" workbookViewId="0">
      <selection activeCell="H1" sqref="H1:H1048576"/>
    </sheetView>
  </sheetViews>
  <sheetFormatPr defaultRowHeight="14.4"/>
  <cols>
    <col min="1" max="1" width="9.21875" bestFit="1" customWidth="1"/>
    <col min="2" max="2" width="9.77734375" bestFit="1" customWidth="1"/>
    <col min="3" max="3" width="78" bestFit="1" customWidth="1"/>
    <col min="5" max="5" width="16.88671875" bestFit="1" customWidth="1"/>
    <col min="6" max="6" width="21.109375" bestFit="1" customWidth="1"/>
    <col min="7" max="7" width="15.33203125" bestFit="1" customWidth="1"/>
    <col min="8" max="8" width="13.88671875" bestFit="1" customWidth="1"/>
    <col min="9" max="9" width="14" bestFit="1" customWidth="1"/>
    <col min="10" max="10" width="15.6640625" bestFit="1" customWidth="1"/>
    <col min="11" max="11" width="6.6640625" bestFit="1" customWidth="1"/>
    <col min="12" max="14" width="12" style="13" bestFit="1" customWidth="1"/>
    <col min="15" max="15" width="13.88671875" style="13" bestFit="1" customWidth="1"/>
    <col min="16" max="16" width="12" style="13" bestFit="1" customWidth="1"/>
    <col min="17" max="17" width="8.6640625" bestFit="1" customWidth="1"/>
    <col min="18" max="18" width="18" bestFit="1" customWidth="1"/>
  </cols>
  <sheetData>
    <row r="1" spans="1:18">
      <c r="A1" t="s">
        <v>881</v>
      </c>
      <c r="B1" t="s">
        <v>734</v>
      </c>
      <c r="C1" t="s">
        <v>709</v>
      </c>
      <c r="D1" t="s">
        <v>882</v>
      </c>
      <c r="E1" t="s">
        <v>739</v>
      </c>
      <c r="F1" t="s">
        <v>740</v>
      </c>
      <c r="G1" t="s">
        <v>742</v>
      </c>
      <c r="H1" t="s">
        <v>1068</v>
      </c>
      <c r="I1" t="s">
        <v>1069</v>
      </c>
      <c r="J1" t="s">
        <v>1070</v>
      </c>
      <c r="K1" t="s">
        <v>1071</v>
      </c>
      <c r="L1" s="13" t="s">
        <v>1072</v>
      </c>
      <c r="M1" s="13" t="s">
        <v>1073</v>
      </c>
      <c r="N1" s="13" t="s">
        <v>1074</v>
      </c>
      <c r="O1" s="13" t="s">
        <v>1075</v>
      </c>
      <c r="P1" s="13" t="s">
        <v>1076</v>
      </c>
      <c r="Q1" t="s">
        <v>3</v>
      </c>
      <c r="R1" t="s">
        <v>1077</v>
      </c>
    </row>
    <row r="2" spans="1:18">
      <c r="A2" t="s">
        <v>892</v>
      </c>
      <c r="B2" t="s">
        <v>767</v>
      </c>
      <c r="C2" t="s">
        <v>70</v>
      </c>
      <c r="D2" t="s">
        <v>893</v>
      </c>
      <c r="E2" t="s">
        <v>769</v>
      </c>
      <c r="F2" t="s">
        <v>770</v>
      </c>
      <c r="G2" t="s">
        <v>772</v>
      </c>
      <c r="H2">
        <v>59</v>
      </c>
      <c r="I2" t="s">
        <v>1078</v>
      </c>
      <c r="J2" t="s">
        <v>1078</v>
      </c>
      <c r="K2" t="s">
        <v>1078</v>
      </c>
      <c r="L2" s="13">
        <v>3638.0097043678475</v>
      </c>
      <c r="M2" s="13">
        <v>25501.07410608176</v>
      </c>
      <c r="N2" s="13">
        <v>3.1490254725131283E-4</v>
      </c>
      <c r="O2" s="13">
        <v>9229.9623996076971</v>
      </c>
      <c r="P2" s="13">
        <v>35</v>
      </c>
      <c r="Q2" t="s">
        <v>1079</v>
      </c>
      <c r="R2" t="s">
        <v>1093</v>
      </c>
    </row>
    <row r="3" spans="1:18">
      <c r="A3" t="s">
        <v>894</v>
      </c>
      <c r="B3" t="s">
        <v>767</v>
      </c>
      <c r="C3" t="s">
        <v>70</v>
      </c>
      <c r="D3" t="s">
        <v>895</v>
      </c>
      <c r="E3" t="s">
        <v>769</v>
      </c>
      <c r="F3" t="s">
        <v>770</v>
      </c>
      <c r="G3" t="s">
        <v>772</v>
      </c>
      <c r="H3">
        <v>68</v>
      </c>
      <c r="I3" t="s">
        <v>1078</v>
      </c>
      <c r="J3" t="s">
        <v>1078</v>
      </c>
      <c r="K3" t="s">
        <v>1078</v>
      </c>
      <c r="L3" s="13">
        <v>805.702061505605</v>
      </c>
      <c r="M3" s="13">
        <v>6901.1112631311671</v>
      </c>
      <c r="N3" s="13">
        <v>1.8379218444969129E-3</v>
      </c>
      <c r="O3" s="13">
        <v>2900.0134400405145</v>
      </c>
      <c r="P3" s="13">
        <v>23</v>
      </c>
      <c r="Q3" t="s">
        <v>1079</v>
      </c>
      <c r="R3" t="s">
        <v>1094</v>
      </c>
    </row>
    <row r="4" spans="1:18">
      <c r="A4" t="s">
        <v>896</v>
      </c>
      <c r="B4" t="s">
        <v>773</v>
      </c>
      <c r="C4" t="s">
        <v>96</v>
      </c>
      <c r="D4" t="s">
        <v>893</v>
      </c>
      <c r="E4" t="s">
        <v>774</v>
      </c>
      <c r="F4" t="s">
        <v>770</v>
      </c>
      <c r="G4" t="s">
        <v>772</v>
      </c>
      <c r="H4">
        <v>57</v>
      </c>
      <c r="I4" t="s">
        <v>1078</v>
      </c>
      <c r="J4" t="s">
        <v>1078</v>
      </c>
      <c r="K4" t="s">
        <v>1078</v>
      </c>
      <c r="L4" s="13">
        <v>3666.0194137587146</v>
      </c>
      <c r="M4" s="13">
        <v>21837.126630653431</v>
      </c>
      <c r="N4" s="13">
        <v>0</v>
      </c>
      <c r="O4" s="13">
        <v>10863.712226090727</v>
      </c>
      <c r="P4" s="13">
        <v>132.49999999999955</v>
      </c>
      <c r="Q4" t="s">
        <v>1079</v>
      </c>
      <c r="R4" t="s">
        <v>1095</v>
      </c>
    </row>
    <row r="5" spans="1:18">
      <c r="A5" t="s">
        <v>897</v>
      </c>
      <c r="B5" t="s">
        <v>773</v>
      </c>
      <c r="C5" t="s">
        <v>96</v>
      </c>
      <c r="D5" t="s">
        <v>895</v>
      </c>
      <c r="E5" t="s">
        <v>774</v>
      </c>
      <c r="F5" t="s">
        <v>770</v>
      </c>
      <c r="G5" t="s">
        <v>772</v>
      </c>
      <c r="H5">
        <v>72</v>
      </c>
      <c r="I5" t="s">
        <v>1078</v>
      </c>
      <c r="J5" t="s">
        <v>1078</v>
      </c>
      <c r="K5" t="s">
        <v>1078</v>
      </c>
      <c r="L5" s="13">
        <v>806.03190691944496</v>
      </c>
      <c r="M5" s="13">
        <v>3681.0406000866355</v>
      </c>
      <c r="N5" s="13">
        <v>0</v>
      </c>
      <c r="O5" s="13">
        <v>3007.6790229931717</v>
      </c>
      <c r="P5" s="13">
        <v>52</v>
      </c>
      <c r="Q5" t="s">
        <v>1079</v>
      </c>
      <c r="R5" t="s">
        <v>1096</v>
      </c>
    </row>
    <row r="6" spans="1:18">
      <c r="A6" t="s">
        <v>898</v>
      </c>
      <c r="B6" t="s">
        <v>775</v>
      </c>
      <c r="C6" t="s">
        <v>105</v>
      </c>
      <c r="D6" t="s">
        <v>893</v>
      </c>
      <c r="E6" t="s">
        <v>776</v>
      </c>
      <c r="F6" t="s">
        <v>770</v>
      </c>
      <c r="G6" t="s">
        <v>777</v>
      </c>
      <c r="H6">
        <v>57</v>
      </c>
      <c r="I6" t="s">
        <v>1078</v>
      </c>
      <c r="J6" t="s">
        <v>1078</v>
      </c>
      <c r="K6" t="s">
        <v>1078</v>
      </c>
      <c r="L6" s="13">
        <v>4451.0172919111401</v>
      </c>
      <c r="M6" s="13">
        <v>14956.062443012441</v>
      </c>
      <c r="N6" s="13">
        <v>0</v>
      </c>
      <c r="O6" s="13">
        <v>10608.646046445447</v>
      </c>
      <c r="P6" s="13">
        <v>3.5</v>
      </c>
      <c r="Q6" t="s">
        <v>1079</v>
      </c>
      <c r="R6" t="s">
        <v>1097</v>
      </c>
    </row>
    <row r="7" spans="1:18">
      <c r="A7" t="s">
        <v>899</v>
      </c>
      <c r="B7" t="s">
        <v>775</v>
      </c>
      <c r="C7" t="s">
        <v>105</v>
      </c>
      <c r="D7" t="s">
        <v>895</v>
      </c>
      <c r="E7" t="s">
        <v>776</v>
      </c>
      <c r="F7" t="s">
        <v>770</v>
      </c>
      <c r="G7" t="s">
        <v>777</v>
      </c>
      <c r="H7">
        <v>79</v>
      </c>
      <c r="I7" t="s">
        <v>1078</v>
      </c>
      <c r="J7" t="s">
        <v>1078</v>
      </c>
      <c r="K7" t="s">
        <v>1078</v>
      </c>
      <c r="L7" s="13">
        <v>805.70193698088246</v>
      </c>
      <c r="M7" s="13">
        <v>2381.0308588643284</v>
      </c>
      <c r="N7" s="13">
        <v>0</v>
      </c>
      <c r="O7" s="13">
        <v>3102.7469146425915</v>
      </c>
      <c r="P7" s="13">
        <v>19</v>
      </c>
      <c r="Q7" t="s">
        <v>1079</v>
      </c>
      <c r="R7" t="s">
        <v>1098</v>
      </c>
    </row>
    <row r="8" spans="1:18">
      <c r="A8" t="s">
        <v>900</v>
      </c>
      <c r="B8" t="s">
        <v>778</v>
      </c>
      <c r="C8" t="s">
        <v>113</v>
      </c>
      <c r="D8" t="s">
        <v>893</v>
      </c>
      <c r="E8" t="s">
        <v>779</v>
      </c>
      <c r="F8" t="s">
        <v>770</v>
      </c>
      <c r="G8" t="s">
        <v>780</v>
      </c>
      <c r="H8">
        <v>57</v>
      </c>
      <c r="I8" t="s">
        <v>1078</v>
      </c>
      <c r="J8" t="s">
        <v>1078</v>
      </c>
      <c r="K8" t="s">
        <v>1078</v>
      </c>
      <c r="L8" s="13">
        <v>4443.0098815954152</v>
      </c>
      <c r="M8" s="13">
        <v>14952.535683538999</v>
      </c>
      <c r="N8" s="13">
        <v>0</v>
      </c>
      <c r="O8" s="13">
        <v>10726.18009372288</v>
      </c>
      <c r="P8" s="13">
        <v>0</v>
      </c>
      <c r="Q8" t="s">
        <v>1079</v>
      </c>
      <c r="R8" t="s">
        <v>1099</v>
      </c>
    </row>
    <row r="9" spans="1:18">
      <c r="A9" t="s">
        <v>901</v>
      </c>
      <c r="B9" t="s">
        <v>778</v>
      </c>
      <c r="C9" t="s">
        <v>113</v>
      </c>
      <c r="D9" t="s">
        <v>895</v>
      </c>
      <c r="E9" t="s">
        <v>779</v>
      </c>
      <c r="F9" t="s">
        <v>770</v>
      </c>
      <c r="G9" t="s">
        <v>780</v>
      </c>
      <c r="H9">
        <v>81</v>
      </c>
      <c r="I9" t="s">
        <v>1078</v>
      </c>
      <c r="J9" t="s">
        <v>1078</v>
      </c>
      <c r="K9" t="s">
        <v>1078</v>
      </c>
      <c r="L9" s="13">
        <v>765.70183716944462</v>
      </c>
      <c r="M9" s="13">
        <v>2252.0292349742649</v>
      </c>
      <c r="N9" s="13">
        <v>0</v>
      </c>
      <c r="O9" s="13">
        <v>2964.0778013279423</v>
      </c>
      <c r="P9" s="13">
        <v>8</v>
      </c>
      <c r="Q9" t="s">
        <v>1079</v>
      </c>
      <c r="R9" t="s">
        <v>1100</v>
      </c>
    </row>
    <row r="10" spans="1:18">
      <c r="A10" t="s">
        <v>902</v>
      </c>
      <c r="B10" t="s">
        <v>781</v>
      </c>
      <c r="C10" t="s">
        <v>121</v>
      </c>
      <c r="D10" t="s">
        <v>893</v>
      </c>
      <c r="E10" t="s">
        <v>779</v>
      </c>
      <c r="F10" t="s">
        <v>770</v>
      </c>
      <c r="G10" t="s">
        <v>780</v>
      </c>
      <c r="H10">
        <v>57</v>
      </c>
      <c r="I10" t="s">
        <v>1078</v>
      </c>
      <c r="J10" t="s">
        <v>1078</v>
      </c>
      <c r="K10" t="s">
        <v>1078</v>
      </c>
      <c r="L10" s="13">
        <v>4472.0376729118525</v>
      </c>
      <c r="M10" s="13">
        <v>14963.136041070571</v>
      </c>
      <c r="N10" s="13">
        <v>0</v>
      </c>
      <c r="O10" s="13">
        <v>11177.079407533598</v>
      </c>
      <c r="P10" s="13">
        <v>56.5</v>
      </c>
      <c r="Q10" t="s">
        <v>1079</v>
      </c>
      <c r="R10" t="s">
        <v>1101</v>
      </c>
    </row>
    <row r="11" spans="1:18">
      <c r="A11" t="s">
        <v>903</v>
      </c>
      <c r="B11" t="s">
        <v>781</v>
      </c>
      <c r="C11" t="s">
        <v>121</v>
      </c>
      <c r="D11" t="s">
        <v>895</v>
      </c>
      <c r="E11" t="s">
        <v>779</v>
      </c>
      <c r="F11" t="s">
        <v>770</v>
      </c>
      <c r="G11" t="s">
        <v>780</v>
      </c>
      <c r="H11">
        <v>81</v>
      </c>
      <c r="I11" t="s">
        <v>1078</v>
      </c>
      <c r="J11" t="s">
        <v>1078</v>
      </c>
      <c r="K11" t="s">
        <v>1078</v>
      </c>
      <c r="L11" s="13">
        <v>805.70198768061641</v>
      </c>
      <c r="M11" s="13">
        <v>2230.5426531117982</v>
      </c>
      <c r="N11" s="13">
        <v>0</v>
      </c>
      <c r="O11" s="13">
        <v>3012.704642107321</v>
      </c>
      <c r="P11" s="13">
        <v>50.000000000000114</v>
      </c>
      <c r="Q11" t="s">
        <v>1079</v>
      </c>
      <c r="R11" t="s">
        <v>1102</v>
      </c>
    </row>
    <row r="12" spans="1:18">
      <c r="A12" t="s">
        <v>904</v>
      </c>
      <c r="B12" t="s">
        <v>782</v>
      </c>
      <c r="C12" t="s">
        <v>128</v>
      </c>
      <c r="D12" t="s">
        <v>893</v>
      </c>
      <c r="E12" t="s">
        <v>783</v>
      </c>
      <c r="F12" t="s">
        <v>770</v>
      </c>
      <c r="G12" t="s">
        <v>772</v>
      </c>
      <c r="H12">
        <v>57</v>
      </c>
      <c r="I12" t="s">
        <v>1078</v>
      </c>
      <c r="J12" t="s">
        <v>1078</v>
      </c>
      <c r="K12" t="s">
        <v>1078</v>
      </c>
      <c r="L12" s="13">
        <v>4429.0161621986717</v>
      </c>
      <c r="M12" s="13">
        <v>15021.058662795178</v>
      </c>
      <c r="N12" s="13">
        <v>0</v>
      </c>
      <c r="O12" s="13">
        <v>10875.63428269585</v>
      </c>
      <c r="P12" s="13">
        <v>0</v>
      </c>
      <c r="Q12" t="s">
        <v>1079</v>
      </c>
      <c r="R12" t="s">
        <v>1103</v>
      </c>
    </row>
    <row r="13" spans="1:18">
      <c r="A13" t="s">
        <v>905</v>
      </c>
      <c r="B13" t="s">
        <v>782</v>
      </c>
      <c r="C13" t="s">
        <v>128</v>
      </c>
      <c r="D13" t="s">
        <v>895</v>
      </c>
      <c r="E13" t="s">
        <v>783</v>
      </c>
      <c r="F13" t="s">
        <v>770</v>
      </c>
      <c r="G13" t="s">
        <v>772</v>
      </c>
      <c r="H13">
        <v>81</v>
      </c>
      <c r="I13" t="s">
        <v>1078</v>
      </c>
      <c r="J13" t="s">
        <v>1078</v>
      </c>
      <c r="K13" t="s">
        <v>1078</v>
      </c>
      <c r="L13" s="13">
        <v>805.70437003072107</v>
      </c>
      <c r="M13" s="13">
        <v>2241.0462673747347</v>
      </c>
      <c r="N13" s="13">
        <v>0</v>
      </c>
      <c r="O13" s="13">
        <v>3173.6007840703119</v>
      </c>
      <c r="P13" s="13">
        <v>59.000000000000114</v>
      </c>
      <c r="Q13" t="s">
        <v>1079</v>
      </c>
      <c r="R13" t="s">
        <v>1104</v>
      </c>
    </row>
    <row r="14" spans="1:18">
      <c r="A14" t="s">
        <v>906</v>
      </c>
      <c r="B14" t="s">
        <v>784</v>
      </c>
      <c r="C14" t="s">
        <v>136</v>
      </c>
      <c r="D14" t="s">
        <v>893</v>
      </c>
      <c r="E14" t="s">
        <v>785</v>
      </c>
      <c r="F14" t="s">
        <v>770</v>
      </c>
      <c r="G14" t="s">
        <v>777</v>
      </c>
      <c r="H14">
        <v>56</v>
      </c>
      <c r="I14" t="s">
        <v>1078</v>
      </c>
      <c r="J14" t="s">
        <v>1078</v>
      </c>
      <c r="K14" t="s">
        <v>1078</v>
      </c>
      <c r="L14" s="13">
        <v>4467.0261192083453</v>
      </c>
      <c r="M14" s="13">
        <v>70986.455635078979</v>
      </c>
      <c r="N14" s="13">
        <v>0</v>
      </c>
      <c r="O14" s="13">
        <v>25094.757348146315</v>
      </c>
      <c r="P14" s="13">
        <v>50</v>
      </c>
      <c r="Q14" t="s">
        <v>1079</v>
      </c>
      <c r="R14" t="s">
        <v>1105</v>
      </c>
    </row>
    <row r="15" spans="1:18">
      <c r="A15" t="s">
        <v>907</v>
      </c>
      <c r="B15" t="s">
        <v>784</v>
      </c>
      <c r="C15" t="s">
        <v>136</v>
      </c>
      <c r="D15" t="s">
        <v>895</v>
      </c>
      <c r="E15" t="s">
        <v>785</v>
      </c>
      <c r="F15" t="s">
        <v>770</v>
      </c>
      <c r="G15" t="s">
        <v>777</v>
      </c>
      <c r="H15">
        <v>65</v>
      </c>
      <c r="I15" t="s">
        <v>1078</v>
      </c>
      <c r="J15" t="s">
        <v>1078</v>
      </c>
      <c r="K15" t="s">
        <v>1078</v>
      </c>
      <c r="L15" s="13">
        <v>806.19567718767712</v>
      </c>
      <c r="M15" s="13">
        <v>11461.312840027991</v>
      </c>
      <c r="N15" s="13">
        <v>0</v>
      </c>
      <c r="O15" s="13">
        <v>4229.8053035539415</v>
      </c>
      <c r="P15" s="13">
        <v>45</v>
      </c>
      <c r="Q15" t="s">
        <v>1079</v>
      </c>
      <c r="R15" t="s">
        <v>1106</v>
      </c>
    </row>
    <row r="16" spans="1:18">
      <c r="A16" t="s">
        <v>908</v>
      </c>
      <c r="B16" t="s">
        <v>786</v>
      </c>
      <c r="C16" t="s">
        <v>144</v>
      </c>
      <c r="D16" t="s">
        <v>893</v>
      </c>
      <c r="E16" t="s">
        <v>776</v>
      </c>
      <c r="F16" t="s">
        <v>770</v>
      </c>
      <c r="G16" t="s">
        <v>777</v>
      </c>
      <c r="H16">
        <v>58</v>
      </c>
      <c r="I16" t="s">
        <v>1078</v>
      </c>
      <c r="J16" t="s">
        <v>1078</v>
      </c>
      <c r="K16" t="s">
        <v>1078</v>
      </c>
      <c r="L16" s="13">
        <v>3640.0164189057678</v>
      </c>
      <c r="M16" s="13">
        <v>13501.065675623069</v>
      </c>
      <c r="N16" s="13">
        <v>0</v>
      </c>
      <c r="O16" s="13">
        <v>12715.87427916667</v>
      </c>
      <c r="P16" s="13">
        <v>65</v>
      </c>
      <c r="Q16" t="s">
        <v>1079</v>
      </c>
      <c r="R16" t="s">
        <v>1107</v>
      </c>
    </row>
    <row r="17" spans="1:18">
      <c r="A17" t="s">
        <v>909</v>
      </c>
      <c r="B17" t="s">
        <v>786</v>
      </c>
      <c r="C17" t="s">
        <v>144</v>
      </c>
      <c r="D17" t="s">
        <v>895</v>
      </c>
      <c r="E17" t="s">
        <v>776</v>
      </c>
      <c r="F17" t="s">
        <v>770</v>
      </c>
      <c r="G17" t="s">
        <v>777</v>
      </c>
      <c r="H17">
        <v>77</v>
      </c>
      <c r="I17" t="s">
        <v>1078</v>
      </c>
      <c r="J17" t="s">
        <v>1078</v>
      </c>
      <c r="K17" t="s">
        <v>1078</v>
      </c>
      <c r="L17" s="13">
        <v>807.01416859452547</v>
      </c>
      <c r="M17" s="13">
        <v>2521.0508402509436</v>
      </c>
      <c r="N17" s="13">
        <v>0</v>
      </c>
      <c r="O17" s="13">
        <v>3749.6644231572996</v>
      </c>
      <c r="P17" s="13">
        <v>58</v>
      </c>
      <c r="Q17" t="s">
        <v>1079</v>
      </c>
      <c r="R17" t="s">
        <v>1108</v>
      </c>
    </row>
    <row r="18" spans="1:18">
      <c r="A18" t="s">
        <v>910</v>
      </c>
      <c r="B18" t="s">
        <v>787</v>
      </c>
      <c r="C18" t="s">
        <v>157</v>
      </c>
      <c r="D18" t="s">
        <v>893</v>
      </c>
      <c r="E18" t="s">
        <v>788</v>
      </c>
      <c r="F18" t="s">
        <v>770</v>
      </c>
      <c r="G18" t="s">
        <v>777</v>
      </c>
      <c r="H18">
        <v>57</v>
      </c>
      <c r="I18" t="s">
        <v>1078</v>
      </c>
      <c r="J18" t="s">
        <v>1078</v>
      </c>
      <c r="K18" t="s">
        <v>1078</v>
      </c>
      <c r="L18" s="13">
        <v>4413.0268625463941</v>
      </c>
      <c r="M18" s="13">
        <v>14884.596506185193</v>
      </c>
      <c r="N18" s="13">
        <v>0</v>
      </c>
      <c r="O18" s="13">
        <v>10045.880938970735</v>
      </c>
      <c r="P18" s="13">
        <v>6</v>
      </c>
      <c r="Q18" t="s">
        <v>1079</v>
      </c>
      <c r="R18" t="s">
        <v>1109</v>
      </c>
    </row>
    <row r="19" spans="1:18">
      <c r="A19" t="s">
        <v>911</v>
      </c>
      <c r="B19" t="s">
        <v>787</v>
      </c>
      <c r="C19" t="s">
        <v>157</v>
      </c>
      <c r="D19" t="s">
        <v>895</v>
      </c>
      <c r="E19" t="s">
        <v>788</v>
      </c>
      <c r="F19" t="s">
        <v>770</v>
      </c>
      <c r="G19" t="s">
        <v>777</v>
      </c>
      <c r="H19">
        <v>80</v>
      </c>
      <c r="I19" t="s">
        <v>1078</v>
      </c>
      <c r="J19" t="s">
        <v>1078</v>
      </c>
      <c r="K19" t="s">
        <v>1078</v>
      </c>
      <c r="L19" s="13">
        <v>765.2032358648944</v>
      </c>
      <c r="M19" s="13">
        <v>2541.0605137991552</v>
      </c>
      <c r="N19" s="13">
        <v>0</v>
      </c>
      <c r="O19" s="13">
        <v>2564.6978634214024</v>
      </c>
      <c r="P19" s="13">
        <v>57</v>
      </c>
      <c r="Q19" t="s">
        <v>1079</v>
      </c>
      <c r="R19" t="s">
        <v>1110</v>
      </c>
    </row>
    <row r="20" spans="1:18">
      <c r="A20" t="s">
        <v>912</v>
      </c>
      <c r="B20" t="s">
        <v>789</v>
      </c>
      <c r="C20" t="s">
        <v>165</v>
      </c>
      <c r="D20" t="s">
        <v>893</v>
      </c>
      <c r="E20" t="s">
        <v>790</v>
      </c>
      <c r="F20" t="s">
        <v>770</v>
      </c>
      <c r="G20" t="s">
        <v>772</v>
      </c>
      <c r="H20">
        <v>57</v>
      </c>
      <c r="I20" t="s">
        <v>1078</v>
      </c>
      <c r="J20" t="s">
        <v>1078</v>
      </c>
      <c r="K20" t="s">
        <v>1078</v>
      </c>
      <c r="L20" s="13">
        <v>4432.0102938237524</v>
      </c>
      <c r="M20" s="13">
        <v>18625.046512833273</v>
      </c>
      <c r="N20" s="13">
        <v>0</v>
      </c>
      <c r="O20" s="13">
        <v>10724.387490932302</v>
      </c>
      <c r="P20" s="13">
        <v>0</v>
      </c>
      <c r="Q20" t="s">
        <v>1079</v>
      </c>
      <c r="R20" t="s">
        <v>1111</v>
      </c>
    </row>
    <row r="21" spans="1:18">
      <c r="A21" t="s">
        <v>913</v>
      </c>
      <c r="B21" t="s">
        <v>789</v>
      </c>
      <c r="C21" t="s">
        <v>165</v>
      </c>
      <c r="D21" t="s">
        <v>895</v>
      </c>
      <c r="E21" t="s">
        <v>790</v>
      </c>
      <c r="F21" t="s">
        <v>770</v>
      </c>
      <c r="G21" t="s">
        <v>772</v>
      </c>
      <c r="H21">
        <v>77</v>
      </c>
      <c r="I21" t="s">
        <v>1078</v>
      </c>
      <c r="J21" t="s">
        <v>1078</v>
      </c>
      <c r="K21" t="s">
        <v>1078</v>
      </c>
      <c r="L21" s="13">
        <v>823.70057427190466</v>
      </c>
      <c r="M21" s="13">
        <v>2812.0199633722509</v>
      </c>
      <c r="N21" s="13">
        <v>0</v>
      </c>
      <c r="O21" s="13">
        <v>2805.3932581562553</v>
      </c>
      <c r="P21" s="13">
        <v>46</v>
      </c>
      <c r="Q21" t="s">
        <v>1079</v>
      </c>
      <c r="R21" t="s">
        <v>1112</v>
      </c>
    </row>
    <row r="22" spans="1:18">
      <c r="A22" t="s">
        <v>914</v>
      </c>
      <c r="B22" t="s">
        <v>791</v>
      </c>
      <c r="C22" t="s">
        <v>173</v>
      </c>
      <c r="D22" t="s">
        <v>893</v>
      </c>
      <c r="E22" t="s">
        <v>783</v>
      </c>
      <c r="F22" t="s">
        <v>770</v>
      </c>
      <c r="G22" t="s">
        <v>772</v>
      </c>
      <c r="H22">
        <v>57</v>
      </c>
      <c r="I22" t="s">
        <v>1078</v>
      </c>
      <c r="J22" t="s">
        <v>1078</v>
      </c>
      <c r="K22" t="s">
        <v>1078</v>
      </c>
      <c r="L22" s="13">
        <v>4460.0084012604902</v>
      </c>
      <c r="M22" s="13">
        <v>15032.530493463997</v>
      </c>
      <c r="N22" s="13">
        <v>0</v>
      </c>
      <c r="O22" s="13">
        <v>11010.693564711029</v>
      </c>
      <c r="P22" s="13">
        <v>4</v>
      </c>
      <c r="Q22" t="s">
        <v>1079</v>
      </c>
      <c r="R22" t="s">
        <v>1113</v>
      </c>
    </row>
    <row r="23" spans="1:18">
      <c r="A23" t="s">
        <v>915</v>
      </c>
      <c r="B23" t="s">
        <v>791</v>
      </c>
      <c r="C23" t="s">
        <v>173</v>
      </c>
      <c r="D23" t="s">
        <v>895</v>
      </c>
      <c r="E23" t="s">
        <v>783</v>
      </c>
      <c r="F23" t="s">
        <v>770</v>
      </c>
      <c r="G23" t="s">
        <v>772</v>
      </c>
      <c r="H23">
        <v>76</v>
      </c>
      <c r="I23" t="s">
        <v>1078</v>
      </c>
      <c r="J23" t="s">
        <v>1078</v>
      </c>
      <c r="K23" t="s">
        <v>1078</v>
      </c>
      <c r="L23" s="13">
        <v>835.82410217955487</v>
      </c>
      <c r="M23" s="13">
        <v>2401.0227401222583</v>
      </c>
      <c r="N23" s="13">
        <v>0</v>
      </c>
      <c r="O23" s="13">
        <v>3278.7009569113939</v>
      </c>
      <c r="P23" s="13">
        <v>137.17785817581228</v>
      </c>
      <c r="Q23" t="s">
        <v>1079</v>
      </c>
      <c r="R23" t="s">
        <v>1114</v>
      </c>
    </row>
    <row r="24" spans="1:18">
      <c r="A24" t="s">
        <v>916</v>
      </c>
      <c r="B24" t="s">
        <v>792</v>
      </c>
      <c r="C24" t="s">
        <v>181</v>
      </c>
      <c r="D24" t="s">
        <v>893</v>
      </c>
      <c r="E24" t="s">
        <v>790</v>
      </c>
      <c r="F24" t="s">
        <v>770</v>
      </c>
      <c r="G24" t="s">
        <v>772</v>
      </c>
      <c r="H24">
        <v>57</v>
      </c>
      <c r="I24" t="s">
        <v>1078</v>
      </c>
      <c r="J24" t="s">
        <v>1078</v>
      </c>
      <c r="K24" t="s">
        <v>1078</v>
      </c>
      <c r="L24" s="13">
        <v>4426.0209280329282</v>
      </c>
      <c r="M24" s="13">
        <v>76222.392206839228</v>
      </c>
      <c r="N24" s="13">
        <v>0</v>
      </c>
      <c r="O24" s="13">
        <v>10349.208094901103</v>
      </c>
      <c r="P24" s="13">
        <v>0</v>
      </c>
      <c r="Q24" t="s">
        <v>1079</v>
      </c>
      <c r="R24" t="s">
        <v>1115</v>
      </c>
    </row>
    <row r="25" spans="1:18">
      <c r="A25" t="s">
        <v>917</v>
      </c>
      <c r="B25" t="s">
        <v>792</v>
      </c>
      <c r="C25" t="s">
        <v>181</v>
      </c>
      <c r="D25" t="s">
        <v>895</v>
      </c>
      <c r="E25" t="s">
        <v>790</v>
      </c>
      <c r="F25" t="s">
        <v>770</v>
      </c>
      <c r="G25" t="s">
        <v>772</v>
      </c>
      <c r="H25">
        <v>82</v>
      </c>
      <c r="I25" t="s">
        <v>1078</v>
      </c>
      <c r="J25" t="s">
        <v>1078</v>
      </c>
      <c r="K25" t="s">
        <v>1078</v>
      </c>
      <c r="L25" s="13">
        <v>766.99268938146963</v>
      </c>
      <c r="M25" s="13">
        <v>2175.0403084040781</v>
      </c>
      <c r="N25" s="13">
        <v>0</v>
      </c>
      <c r="O25" s="13">
        <v>2819.961466042856</v>
      </c>
      <c r="P25" s="13">
        <v>32</v>
      </c>
      <c r="Q25" t="s">
        <v>1079</v>
      </c>
      <c r="R25" t="s">
        <v>1116</v>
      </c>
    </row>
    <row r="26" spans="1:18">
      <c r="A26" t="s">
        <v>918</v>
      </c>
      <c r="B26" t="s">
        <v>793</v>
      </c>
      <c r="C26" t="s">
        <v>189</v>
      </c>
      <c r="D26" t="s">
        <v>893</v>
      </c>
      <c r="E26" t="s">
        <v>794</v>
      </c>
      <c r="F26" t="s">
        <v>770</v>
      </c>
      <c r="G26" t="s">
        <v>780</v>
      </c>
      <c r="H26">
        <v>56</v>
      </c>
      <c r="I26" t="s">
        <v>1078</v>
      </c>
      <c r="J26" t="s">
        <v>1078</v>
      </c>
      <c r="K26" t="s">
        <v>1078</v>
      </c>
      <c r="L26" s="13">
        <v>7201.038573763858</v>
      </c>
      <c r="M26" s="13">
        <v>18233.10020793002</v>
      </c>
      <c r="N26" s="13">
        <v>0</v>
      </c>
      <c r="O26" s="13">
        <v>10888.561957964961</v>
      </c>
      <c r="P26" s="13">
        <v>0</v>
      </c>
      <c r="Q26" t="s">
        <v>1079</v>
      </c>
      <c r="R26" t="s">
        <v>1117</v>
      </c>
    </row>
    <row r="27" spans="1:18">
      <c r="A27" t="s">
        <v>919</v>
      </c>
      <c r="B27" t="s">
        <v>793</v>
      </c>
      <c r="C27" t="s">
        <v>189</v>
      </c>
      <c r="D27" t="s">
        <v>895</v>
      </c>
      <c r="E27" t="s">
        <v>794</v>
      </c>
      <c r="F27" t="s">
        <v>770</v>
      </c>
      <c r="G27" t="s">
        <v>780</v>
      </c>
      <c r="H27">
        <v>75</v>
      </c>
      <c r="I27" t="s">
        <v>1078</v>
      </c>
      <c r="J27" t="s">
        <v>1078</v>
      </c>
      <c r="K27" t="s">
        <v>1078</v>
      </c>
      <c r="L27" s="13">
        <v>1281.0241559072879</v>
      </c>
      <c r="M27" s="13">
        <v>2761.0539481929418</v>
      </c>
      <c r="N27" s="13">
        <v>4.2825024779269746E-3</v>
      </c>
      <c r="O27" s="13">
        <v>2661.974057419744</v>
      </c>
      <c r="P27" s="13">
        <v>19</v>
      </c>
      <c r="Q27" t="s">
        <v>1079</v>
      </c>
      <c r="R27" t="s">
        <v>1118</v>
      </c>
    </row>
    <row r="28" spans="1:18">
      <c r="A28" t="s">
        <v>920</v>
      </c>
      <c r="B28" t="s">
        <v>795</v>
      </c>
      <c r="C28" t="s">
        <v>199</v>
      </c>
      <c r="D28" t="s">
        <v>893</v>
      </c>
      <c r="E28" t="s">
        <v>783</v>
      </c>
      <c r="F28" t="s">
        <v>770</v>
      </c>
      <c r="G28" t="s">
        <v>772</v>
      </c>
      <c r="H28">
        <v>57</v>
      </c>
      <c r="I28" t="s">
        <v>1078</v>
      </c>
      <c r="J28" t="s">
        <v>1078</v>
      </c>
      <c r="K28" t="s">
        <v>1078</v>
      </c>
      <c r="L28" s="13">
        <v>4421.0112256893381</v>
      </c>
      <c r="M28" s="13">
        <v>15020.040745094633</v>
      </c>
      <c r="N28" s="13">
        <v>0</v>
      </c>
      <c r="O28" s="13">
        <v>11033.527507387487</v>
      </c>
      <c r="P28" s="13">
        <v>27</v>
      </c>
      <c r="Q28" t="s">
        <v>1079</v>
      </c>
      <c r="R28" t="s">
        <v>1119</v>
      </c>
    </row>
    <row r="29" spans="1:18">
      <c r="A29" t="s">
        <v>921</v>
      </c>
      <c r="B29" t="s">
        <v>795</v>
      </c>
      <c r="C29" t="s">
        <v>199</v>
      </c>
      <c r="D29" t="s">
        <v>895</v>
      </c>
      <c r="E29" t="s">
        <v>783</v>
      </c>
      <c r="F29" t="s">
        <v>770</v>
      </c>
      <c r="G29" t="s">
        <v>772</v>
      </c>
      <c r="H29">
        <v>82</v>
      </c>
      <c r="I29" t="s">
        <v>1078</v>
      </c>
      <c r="J29" t="s">
        <v>1078</v>
      </c>
      <c r="K29" t="s">
        <v>1078</v>
      </c>
      <c r="L29" s="13">
        <v>771.00606155488288</v>
      </c>
      <c r="M29" s="13">
        <v>2141.0195106297788</v>
      </c>
      <c r="N29" s="13">
        <v>0</v>
      </c>
      <c r="O29" s="13">
        <v>2872.3436012262014</v>
      </c>
      <c r="P29" s="13">
        <v>55</v>
      </c>
      <c r="Q29" t="s">
        <v>1079</v>
      </c>
      <c r="R29" t="s">
        <v>1120</v>
      </c>
    </row>
    <row r="30" spans="1:18">
      <c r="A30" t="s">
        <v>922</v>
      </c>
      <c r="B30" t="s">
        <v>796</v>
      </c>
      <c r="C30" t="s">
        <v>206</v>
      </c>
      <c r="D30" t="s">
        <v>893</v>
      </c>
      <c r="E30" t="s">
        <v>798</v>
      </c>
      <c r="F30" t="s">
        <v>798</v>
      </c>
      <c r="G30" t="s">
        <v>772</v>
      </c>
      <c r="H30">
        <v>79</v>
      </c>
      <c r="I30" t="s">
        <v>1078</v>
      </c>
      <c r="J30" t="s">
        <v>1078</v>
      </c>
      <c r="K30" t="s">
        <v>1078</v>
      </c>
      <c r="L30" s="13">
        <v>1809.9915178276754</v>
      </c>
      <c r="M30" s="13">
        <v>2276.6889731759779</v>
      </c>
      <c r="N30" s="13">
        <v>0</v>
      </c>
      <c r="O30" s="13">
        <v>1950.8836251936618</v>
      </c>
      <c r="P30" s="13">
        <v>725</v>
      </c>
      <c r="Q30" t="s">
        <v>1079</v>
      </c>
      <c r="R30" t="s">
        <v>1121</v>
      </c>
    </row>
    <row r="31" spans="1:18">
      <c r="A31" t="s">
        <v>923</v>
      </c>
      <c r="B31" t="s">
        <v>796</v>
      </c>
      <c r="C31" t="s">
        <v>206</v>
      </c>
      <c r="D31" t="s">
        <v>895</v>
      </c>
      <c r="E31" t="s">
        <v>798</v>
      </c>
      <c r="F31" t="s">
        <v>798</v>
      </c>
      <c r="G31" t="s">
        <v>772</v>
      </c>
      <c r="H31">
        <v>76</v>
      </c>
      <c r="I31" t="s">
        <v>1078</v>
      </c>
      <c r="J31" t="s">
        <v>1078</v>
      </c>
      <c r="K31" t="s">
        <v>1078</v>
      </c>
      <c r="L31" s="13">
        <v>433.11892358495908</v>
      </c>
      <c r="M31" s="13">
        <v>632.99193930826505</v>
      </c>
      <c r="N31" s="13">
        <v>0</v>
      </c>
      <c r="O31" s="13">
        <v>561.61086366370762</v>
      </c>
      <c r="P31" s="13">
        <v>595.00000000000023</v>
      </c>
      <c r="Q31" t="s">
        <v>1079</v>
      </c>
      <c r="R31" t="s">
        <v>1122</v>
      </c>
    </row>
    <row r="32" spans="1:18">
      <c r="A32" t="s">
        <v>924</v>
      </c>
      <c r="B32" t="s">
        <v>799</v>
      </c>
      <c r="C32" t="s">
        <v>215</v>
      </c>
      <c r="D32" t="s">
        <v>893</v>
      </c>
      <c r="E32" t="s">
        <v>800</v>
      </c>
      <c r="F32" t="s">
        <v>770</v>
      </c>
      <c r="G32" t="s">
        <v>777</v>
      </c>
      <c r="H32">
        <v>56</v>
      </c>
      <c r="I32" t="s">
        <v>1078</v>
      </c>
      <c r="J32" t="s">
        <v>1078</v>
      </c>
      <c r="K32" t="s">
        <v>1078</v>
      </c>
      <c r="L32" s="13">
        <v>7051.0386658358493</v>
      </c>
      <c r="M32" s="13">
        <v>19742.111271683159</v>
      </c>
      <c r="N32" s="13">
        <v>0</v>
      </c>
      <c r="O32" s="13">
        <v>10317.901168213957</v>
      </c>
      <c r="P32" s="13">
        <v>9</v>
      </c>
      <c r="Q32" t="s">
        <v>1079</v>
      </c>
      <c r="R32" t="s">
        <v>1123</v>
      </c>
    </row>
    <row r="33" spans="1:18">
      <c r="A33" t="s">
        <v>925</v>
      </c>
      <c r="B33" t="s">
        <v>799</v>
      </c>
      <c r="C33" t="s">
        <v>215</v>
      </c>
      <c r="D33" t="s">
        <v>895</v>
      </c>
      <c r="E33" t="s">
        <v>800</v>
      </c>
      <c r="F33" t="s">
        <v>770</v>
      </c>
      <c r="G33" t="s">
        <v>777</v>
      </c>
      <c r="H33">
        <v>73</v>
      </c>
      <c r="I33" t="s">
        <v>1078</v>
      </c>
      <c r="J33" t="s">
        <v>1078</v>
      </c>
      <c r="K33" t="s">
        <v>1078</v>
      </c>
      <c r="L33" s="13">
        <v>1241.0132405876002</v>
      </c>
      <c r="M33" s="13">
        <v>3081.034242898967</v>
      </c>
      <c r="N33" s="13">
        <v>1.075279287216583E-6</v>
      </c>
      <c r="O33" s="13">
        <v>2849.7843376789206</v>
      </c>
      <c r="P33" s="13">
        <v>9</v>
      </c>
      <c r="Q33" t="s">
        <v>1079</v>
      </c>
      <c r="R33" t="s">
        <v>1124</v>
      </c>
    </row>
    <row r="34" spans="1:18">
      <c r="A34" t="s">
        <v>926</v>
      </c>
      <c r="B34" t="s">
        <v>801</v>
      </c>
      <c r="C34" t="s">
        <v>221</v>
      </c>
      <c r="D34" t="s">
        <v>893</v>
      </c>
      <c r="E34" t="s">
        <v>790</v>
      </c>
      <c r="F34" t="s">
        <v>770</v>
      </c>
      <c r="G34" t="s">
        <v>772</v>
      </c>
      <c r="H34">
        <v>59</v>
      </c>
      <c r="I34" t="s">
        <v>1078</v>
      </c>
      <c r="J34" t="s">
        <v>1078</v>
      </c>
      <c r="K34" t="s">
        <v>1078</v>
      </c>
      <c r="L34" s="13">
        <v>3640.009897109815</v>
      </c>
      <c r="M34" s="13">
        <v>11851.034639884352</v>
      </c>
      <c r="N34" s="13">
        <v>0</v>
      </c>
      <c r="O34" s="13">
        <v>10477.084863965403</v>
      </c>
      <c r="P34" s="13">
        <v>79</v>
      </c>
      <c r="Q34" t="s">
        <v>1079</v>
      </c>
      <c r="R34" t="s">
        <v>1125</v>
      </c>
    </row>
    <row r="35" spans="1:18">
      <c r="A35" t="s">
        <v>927</v>
      </c>
      <c r="B35" t="s">
        <v>801</v>
      </c>
      <c r="C35" t="s">
        <v>221</v>
      </c>
      <c r="D35" t="s">
        <v>895</v>
      </c>
      <c r="E35" t="s">
        <v>790</v>
      </c>
      <c r="F35" t="s">
        <v>770</v>
      </c>
      <c r="G35" t="s">
        <v>772</v>
      </c>
      <c r="H35">
        <v>83</v>
      </c>
      <c r="I35" t="s">
        <v>1078</v>
      </c>
      <c r="J35" t="s">
        <v>1078</v>
      </c>
      <c r="K35" t="s">
        <v>1078</v>
      </c>
      <c r="L35" s="13">
        <v>794.70102840652305</v>
      </c>
      <c r="M35" s="13">
        <v>2039.0270275857638</v>
      </c>
      <c r="N35" s="13">
        <v>0</v>
      </c>
      <c r="O35" s="13">
        <v>2750.0706426940051</v>
      </c>
      <c r="P35" s="13">
        <v>47</v>
      </c>
      <c r="Q35" t="s">
        <v>1079</v>
      </c>
      <c r="R35" t="s">
        <v>1126</v>
      </c>
    </row>
    <row r="36" spans="1:18">
      <c r="A36" t="s">
        <v>928</v>
      </c>
      <c r="B36" t="s">
        <v>802</v>
      </c>
      <c r="C36" t="s">
        <v>228</v>
      </c>
      <c r="D36" t="s">
        <v>893</v>
      </c>
      <c r="E36" t="s">
        <v>774</v>
      </c>
      <c r="F36" t="s">
        <v>770</v>
      </c>
      <c r="G36" t="s">
        <v>772</v>
      </c>
      <c r="H36">
        <v>58</v>
      </c>
      <c r="I36" t="s">
        <v>1078</v>
      </c>
      <c r="J36" t="s">
        <v>1078</v>
      </c>
      <c r="K36" t="s">
        <v>1078</v>
      </c>
      <c r="L36" s="13">
        <v>4456.011418382901</v>
      </c>
      <c r="M36" s="13">
        <v>8958.524316926545</v>
      </c>
      <c r="N36" s="13">
        <v>0</v>
      </c>
      <c r="O36" s="13">
        <v>9259.4357323642726</v>
      </c>
      <c r="P36" s="13">
        <v>29</v>
      </c>
      <c r="Q36" t="s">
        <v>1079</v>
      </c>
      <c r="R36" t="s">
        <v>1127</v>
      </c>
    </row>
    <row r="37" spans="1:18">
      <c r="A37" t="s">
        <v>929</v>
      </c>
      <c r="B37" t="s">
        <v>802</v>
      </c>
      <c r="C37" t="s">
        <v>228</v>
      </c>
      <c r="D37" t="s">
        <v>895</v>
      </c>
      <c r="E37" t="s">
        <v>774</v>
      </c>
      <c r="F37" t="s">
        <v>770</v>
      </c>
      <c r="G37" t="s">
        <v>772</v>
      </c>
      <c r="H37">
        <v>91</v>
      </c>
      <c r="I37" t="s">
        <v>1078</v>
      </c>
      <c r="J37" t="s">
        <v>1078</v>
      </c>
      <c r="K37" t="s">
        <v>1078</v>
      </c>
      <c r="L37" s="13">
        <v>766.12627920922068</v>
      </c>
      <c r="M37" s="13">
        <v>1180.6988456527733</v>
      </c>
      <c r="N37" s="13">
        <v>8.6149262867089103E-3</v>
      </c>
      <c r="O37" s="13">
        <v>2526.0495783066276</v>
      </c>
      <c r="P37" s="13">
        <v>22.999999999999886</v>
      </c>
      <c r="Q37" t="s">
        <v>1079</v>
      </c>
      <c r="R37" t="s">
        <v>1128</v>
      </c>
    </row>
    <row r="38" spans="1:18">
      <c r="A38" t="s">
        <v>930</v>
      </c>
      <c r="B38" t="s">
        <v>803</v>
      </c>
      <c r="C38" t="s">
        <v>235</v>
      </c>
      <c r="D38" t="s">
        <v>893</v>
      </c>
      <c r="E38" t="s">
        <v>790</v>
      </c>
      <c r="F38" t="s">
        <v>770</v>
      </c>
      <c r="G38" t="s">
        <v>772</v>
      </c>
      <c r="H38">
        <v>57</v>
      </c>
      <c r="I38" t="s">
        <v>1078</v>
      </c>
      <c r="J38" t="s">
        <v>1078</v>
      </c>
      <c r="K38" t="s">
        <v>1078</v>
      </c>
      <c r="L38" s="13">
        <v>4449.0182958898058</v>
      </c>
      <c r="M38" s="13">
        <v>17356.576910499745</v>
      </c>
      <c r="N38" s="13">
        <v>0</v>
      </c>
      <c r="O38" s="13">
        <v>10485.896044624702</v>
      </c>
      <c r="P38" s="13">
        <v>8</v>
      </c>
      <c r="Q38" t="s">
        <v>1079</v>
      </c>
      <c r="R38" t="s">
        <v>1129</v>
      </c>
    </row>
    <row r="39" spans="1:18">
      <c r="A39" t="s">
        <v>931</v>
      </c>
      <c r="B39" t="s">
        <v>803</v>
      </c>
      <c r="C39" t="s">
        <v>235</v>
      </c>
      <c r="D39" t="s">
        <v>895</v>
      </c>
      <c r="E39" t="s">
        <v>790</v>
      </c>
      <c r="F39" t="s">
        <v>770</v>
      </c>
      <c r="G39" t="s">
        <v>772</v>
      </c>
      <c r="H39">
        <v>77</v>
      </c>
      <c r="I39" t="s">
        <v>1078</v>
      </c>
      <c r="J39" t="s">
        <v>1078</v>
      </c>
      <c r="K39" t="s">
        <v>1078</v>
      </c>
      <c r="L39" s="13">
        <v>805.20265470149866</v>
      </c>
      <c r="M39" s="13">
        <v>2641.0482604276408</v>
      </c>
      <c r="N39" s="13">
        <v>4.3293719331829713E-3</v>
      </c>
      <c r="O39" s="13">
        <v>3215.8590554492412</v>
      </c>
      <c r="P39" s="13">
        <v>19</v>
      </c>
      <c r="Q39" t="s">
        <v>1079</v>
      </c>
      <c r="R39" t="s">
        <v>1130</v>
      </c>
    </row>
    <row r="40" spans="1:18">
      <c r="A40" t="s">
        <v>932</v>
      </c>
      <c r="B40" t="s">
        <v>804</v>
      </c>
      <c r="C40" t="s">
        <v>243</v>
      </c>
      <c r="D40" t="s">
        <v>893</v>
      </c>
      <c r="E40" t="s">
        <v>790</v>
      </c>
      <c r="F40" t="s">
        <v>770</v>
      </c>
      <c r="G40" t="s">
        <v>772</v>
      </c>
      <c r="H40">
        <v>57</v>
      </c>
      <c r="I40" t="s">
        <v>1078</v>
      </c>
      <c r="J40" t="s">
        <v>1078</v>
      </c>
      <c r="K40" t="s">
        <v>1078</v>
      </c>
      <c r="L40" s="13">
        <v>4425.0161143726345</v>
      </c>
      <c r="M40" s="13">
        <v>15322.559682861611</v>
      </c>
      <c r="N40" s="13">
        <v>0</v>
      </c>
      <c r="O40" s="13">
        <v>10043.097193056194</v>
      </c>
      <c r="P40" s="13">
        <v>0</v>
      </c>
      <c r="Q40" t="s">
        <v>1079</v>
      </c>
      <c r="R40" t="s">
        <v>1131</v>
      </c>
    </row>
    <row r="41" spans="1:18">
      <c r="A41" t="s">
        <v>933</v>
      </c>
      <c r="B41" t="s">
        <v>804</v>
      </c>
      <c r="C41" t="s">
        <v>243</v>
      </c>
      <c r="D41" t="s">
        <v>895</v>
      </c>
      <c r="E41" t="s">
        <v>790</v>
      </c>
      <c r="F41" t="s">
        <v>770</v>
      </c>
      <c r="G41" t="s">
        <v>772</v>
      </c>
      <c r="H41">
        <v>79</v>
      </c>
      <c r="I41" t="s">
        <v>1078</v>
      </c>
      <c r="J41" t="s">
        <v>1078</v>
      </c>
      <c r="K41" t="s">
        <v>1078</v>
      </c>
      <c r="L41" s="13">
        <v>814.01838138237679</v>
      </c>
      <c r="M41" s="13">
        <v>2321.0605504360656</v>
      </c>
      <c r="N41" s="13">
        <v>6.5801457164320351E-3</v>
      </c>
      <c r="O41" s="13">
        <v>2931.2188490446433</v>
      </c>
      <c r="P41" s="13">
        <v>107.5</v>
      </c>
      <c r="Q41" t="s">
        <v>1079</v>
      </c>
      <c r="R41" t="s">
        <v>1132</v>
      </c>
    </row>
    <row r="42" spans="1:18">
      <c r="A42" t="s">
        <v>934</v>
      </c>
      <c r="B42" t="s">
        <v>805</v>
      </c>
      <c r="C42" t="s">
        <v>251</v>
      </c>
      <c r="D42" t="s">
        <v>893</v>
      </c>
      <c r="E42" t="s">
        <v>800</v>
      </c>
      <c r="F42" t="s">
        <v>770</v>
      </c>
      <c r="G42" t="s">
        <v>777</v>
      </c>
      <c r="H42">
        <v>58</v>
      </c>
      <c r="I42" t="s">
        <v>1078</v>
      </c>
      <c r="J42" t="s">
        <v>1078</v>
      </c>
      <c r="K42" t="s">
        <v>1078</v>
      </c>
      <c r="L42" s="13">
        <v>4437.0125633581238</v>
      </c>
      <c r="M42" s="13">
        <v>69447.714275052422</v>
      </c>
      <c r="N42" s="13">
        <v>0</v>
      </c>
      <c r="O42" s="13">
        <v>9473.0015473379772</v>
      </c>
      <c r="P42" s="13">
        <v>20</v>
      </c>
      <c r="Q42" t="s">
        <v>1079</v>
      </c>
      <c r="R42" t="s">
        <v>1133</v>
      </c>
    </row>
    <row r="43" spans="1:18">
      <c r="A43" t="s">
        <v>935</v>
      </c>
      <c r="B43" t="s">
        <v>805</v>
      </c>
      <c r="C43" t="s">
        <v>251</v>
      </c>
      <c r="D43" t="s">
        <v>895</v>
      </c>
      <c r="E43" t="s">
        <v>800</v>
      </c>
      <c r="F43" t="s">
        <v>770</v>
      </c>
      <c r="G43" t="s">
        <v>777</v>
      </c>
      <c r="H43">
        <v>86</v>
      </c>
      <c r="I43" t="s">
        <v>1078</v>
      </c>
      <c r="J43" t="s">
        <v>1078</v>
      </c>
      <c r="K43" t="s">
        <v>1078</v>
      </c>
      <c r="L43" s="13">
        <v>766.20452383188763</v>
      </c>
      <c r="M43" s="13">
        <v>1722.0535624504055</v>
      </c>
      <c r="N43" s="13">
        <v>0</v>
      </c>
      <c r="O43" s="13">
        <v>2698.2290154813418</v>
      </c>
      <c r="P43" s="13">
        <v>37</v>
      </c>
      <c r="Q43" t="s">
        <v>1079</v>
      </c>
      <c r="R43" t="s">
        <v>1134</v>
      </c>
    </row>
    <row r="44" spans="1:18">
      <c r="A44" t="s">
        <v>936</v>
      </c>
      <c r="B44" t="s">
        <v>806</v>
      </c>
      <c r="C44" t="s">
        <v>261</v>
      </c>
      <c r="D44" t="s">
        <v>893</v>
      </c>
      <c r="E44" t="s">
        <v>774</v>
      </c>
      <c r="F44" t="s">
        <v>770</v>
      </c>
      <c r="G44" t="s">
        <v>772</v>
      </c>
      <c r="H44">
        <v>57</v>
      </c>
      <c r="I44" t="s">
        <v>1078</v>
      </c>
      <c r="J44" t="s">
        <v>1078</v>
      </c>
      <c r="K44" t="s">
        <v>1078</v>
      </c>
      <c r="L44" s="13">
        <v>4407.0405135448809</v>
      </c>
      <c r="M44" s="13">
        <v>180481.80210249624</v>
      </c>
      <c r="N44" s="13">
        <v>0</v>
      </c>
      <c r="O44" s="13">
        <v>41540.481765865436</v>
      </c>
      <c r="P44" s="13">
        <v>29</v>
      </c>
      <c r="Q44" t="s">
        <v>1079</v>
      </c>
      <c r="R44" t="s">
        <v>1135</v>
      </c>
    </row>
    <row r="45" spans="1:18">
      <c r="A45" t="s">
        <v>937</v>
      </c>
      <c r="B45" t="s">
        <v>806</v>
      </c>
      <c r="C45" t="s">
        <v>261</v>
      </c>
      <c r="D45" t="s">
        <v>895</v>
      </c>
      <c r="E45" t="s">
        <v>774</v>
      </c>
      <c r="F45" t="s">
        <v>770</v>
      </c>
      <c r="G45" t="s">
        <v>772</v>
      </c>
      <c r="H45">
        <v>65</v>
      </c>
      <c r="I45" t="s">
        <v>1078</v>
      </c>
      <c r="J45" t="s">
        <v>1078</v>
      </c>
      <c r="K45" t="s">
        <v>1078</v>
      </c>
      <c r="L45" s="13">
        <v>835.08461441478903</v>
      </c>
      <c r="M45" s="13">
        <v>29041.839171875756</v>
      </c>
      <c r="N45" s="13">
        <v>0</v>
      </c>
      <c r="O45" s="13">
        <v>4808.3658903440391</v>
      </c>
      <c r="P45" s="13">
        <v>20</v>
      </c>
      <c r="Q45" t="s">
        <v>1079</v>
      </c>
      <c r="R45" t="s">
        <v>1136</v>
      </c>
    </row>
    <row r="46" spans="1:18">
      <c r="A46" t="s">
        <v>938</v>
      </c>
      <c r="B46" t="s">
        <v>807</v>
      </c>
      <c r="C46" t="s">
        <v>269</v>
      </c>
      <c r="D46" t="s">
        <v>893</v>
      </c>
      <c r="E46" t="s">
        <v>783</v>
      </c>
      <c r="F46" t="s">
        <v>770</v>
      </c>
      <c r="G46" t="s">
        <v>772</v>
      </c>
      <c r="H46">
        <v>57</v>
      </c>
      <c r="I46" t="s">
        <v>1078</v>
      </c>
      <c r="J46" t="s">
        <v>1078</v>
      </c>
      <c r="K46" t="s">
        <v>1078</v>
      </c>
      <c r="L46" s="13">
        <v>4612.0037694678604</v>
      </c>
      <c r="M46" s="13">
        <v>15034.513193137507</v>
      </c>
      <c r="N46" s="13">
        <v>0</v>
      </c>
      <c r="O46" s="13">
        <v>11186.91925717742</v>
      </c>
      <c r="P46" s="13">
        <v>6.5</v>
      </c>
      <c r="Q46" t="s">
        <v>1079</v>
      </c>
      <c r="R46" t="s">
        <v>1137</v>
      </c>
    </row>
    <row r="47" spans="1:18">
      <c r="A47" t="s">
        <v>939</v>
      </c>
      <c r="B47" t="s">
        <v>807</v>
      </c>
      <c r="C47" t="s">
        <v>269</v>
      </c>
      <c r="D47" t="s">
        <v>895</v>
      </c>
      <c r="E47" t="s">
        <v>783</v>
      </c>
      <c r="F47" t="s">
        <v>770</v>
      </c>
      <c r="G47" t="s">
        <v>772</v>
      </c>
      <c r="H47">
        <v>81</v>
      </c>
      <c r="I47" t="s">
        <v>1078</v>
      </c>
      <c r="J47" t="s">
        <v>1078</v>
      </c>
      <c r="K47" t="s">
        <v>1078</v>
      </c>
      <c r="L47" s="13">
        <v>805.83624420607964</v>
      </c>
      <c r="M47" s="13">
        <v>2241.0256079271321</v>
      </c>
      <c r="N47" s="13">
        <v>0</v>
      </c>
      <c r="O47" s="13">
        <v>2914.9533545816848</v>
      </c>
      <c r="P47" s="13">
        <v>24</v>
      </c>
      <c r="Q47" t="s">
        <v>1079</v>
      </c>
      <c r="R47" t="s">
        <v>1138</v>
      </c>
    </row>
    <row r="48" spans="1:18">
      <c r="A48" t="s">
        <v>940</v>
      </c>
      <c r="B48" t="s">
        <v>808</v>
      </c>
      <c r="C48" t="s">
        <v>277</v>
      </c>
      <c r="D48" t="s">
        <v>893</v>
      </c>
      <c r="E48" t="s">
        <v>800</v>
      </c>
      <c r="F48" t="s">
        <v>770</v>
      </c>
      <c r="G48" t="s">
        <v>777</v>
      </c>
      <c r="H48">
        <v>58</v>
      </c>
      <c r="I48" t="s">
        <v>1078</v>
      </c>
      <c r="J48" t="s">
        <v>1078</v>
      </c>
      <c r="K48" t="s">
        <v>1078</v>
      </c>
      <c r="L48" s="13">
        <v>4388.0191716465724</v>
      </c>
      <c r="M48" s="13">
        <v>11946.055029726273</v>
      </c>
      <c r="N48" s="13">
        <v>0</v>
      </c>
      <c r="O48" s="13">
        <v>9533.8842172012846</v>
      </c>
      <c r="P48" s="13">
        <v>24</v>
      </c>
      <c r="Q48" t="s">
        <v>1079</v>
      </c>
      <c r="R48" t="s">
        <v>1139</v>
      </c>
    </row>
    <row r="49" spans="1:18">
      <c r="A49" t="s">
        <v>941</v>
      </c>
      <c r="B49" t="s">
        <v>808</v>
      </c>
      <c r="C49" t="s">
        <v>277</v>
      </c>
      <c r="D49" t="s">
        <v>895</v>
      </c>
      <c r="E49" t="s">
        <v>800</v>
      </c>
      <c r="F49" t="s">
        <v>770</v>
      </c>
      <c r="G49" t="s">
        <v>777</v>
      </c>
      <c r="H49">
        <v>87</v>
      </c>
      <c r="I49" t="s">
        <v>1078</v>
      </c>
      <c r="J49" t="s">
        <v>1078</v>
      </c>
      <c r="K49" t="s">
        <v>1078</v>
      </c>
      <c r="L49" s="13">
        <v>765.26062917272361</v>
      </c>
      <c r="M49" s="13">
        <v>1774.6274407525511</v>
      </c>
      <c r="N49" s="13">
        <v>2.6972153428224282E-3</v>
      </c>
      <c r="O49" s="13">
        <v>2491.0741597953188</v>
      </c>
      <c r="P49" s="13">
        <v>26</v>
      </c>
      <c r="Q49" t="s">
        <v>1079</v>
      </c>
      <c r="R49" t="s">
        <v>1140</v>
      </c>
    </row>
    <row r="50" spans="1:18">
      <c r="A50" t="s">
        <v>942</v>
      </c>
      <c r="B50" t="s">
        <v>809</v>
      </c>
      <c r="C50" t="s">
        <v>285</v>
      </c>
      <c r="D50" t="s">
        <v>893</v>
      </c>
      <c r="E50" t="s">
        <v>800</v>
      </c>
      <c r="F50" t="s">
        <v>770</v>
      </c>
      <c r="G50" t="s">
        <v>777</v>
      </c>
      <c r="H50">
        <v>45</v>
      </c>
      <c r="I50" t="s">
        <v>1078</v>
      </c>
      <c r="J50" t="s">
        <v>1078</v>
      </c>
      <c r="K50" t="s">
        <v>1078</v>
      </c>
      <c r="L50" s="13">
        <v>3659.0218806492435</v>
      </c>
      <c r="M50" s="13">
        <v>13501.087522596972</v>
      </c>
      <c r="N50" s="13">
        <v>0</v>
      </c>
      <c r="O50" s="13">
        <v>12101.096447267855</v>
      </c>
      <c r="P50" s="13">
        <v>505.99999999999955</v>
      </c>
      <c r="Q50" t="s">
        <v>1079</v>
      </c>
      <c r="R50" t="s">
        <v>1141</v>
      </c>
    </row>
    <row r="51" spans="1:18">
      <c r="A51" t="s">
        <v>943</v>
      </c>
      <c r="B51" t="s">
        <v>809</v>
      </c>
      <c r="C51" t="s">
        <v>285</v>
      </c>
      <c r="D51" t="s">
        <v>895</v>
      </c>
      <c r="E51" t="s">
        <v>800</v>
      </c>
      <c r="F51" t="s">
        <v>770</v>
      </c>
      <c r="G51" t="s">
        <v>777</v>
      </c>
      <c r="H51">
        <v>80</v>
      </c>
      <c r="I51" t="s">
        <v>1078</v>
      </c>
      <c r="J51" t="s">
        <v>1078</v>
      </c>
      <c r="K51" t="s">
        <v>1078</v>
      </c>
      <c r="L51" s="13">
        <v>794.70030785245262</v>
      </c>
      <c r="M51" s="13">
        <v>2501.0271382718784</v>
      </c>
      <c r="N51" s="13">
        <v>0</v>
      </c>
      <c r="O51" s="13">
        <v>2654.5087130311595</v>
      </c>
      <c r="P51" s="13">
        <v>41</v>
      </c>
      <c r="Q51" t="s">
        <v>1079</v>
      </c>
      <c r="R51" t="s">
        <v>1142</v>
      </c>
    </row>
    <row r="52" spans="1:18">
      <c r="A52" t="s">
        <v>944</v>
      </c>
      <c r="B52" t="s">
        <v>810</v>
      </c>
      <c r="C52" t="s">
        <v>293</v>
      </c>
      <c r="D52" t="s">
        <v>893</v>
      </c>
      <c r="E52" t="s">
        <v>800</v>
      </c>
      <c r="F52" t="s">
        <v>770</v>
      </c>
      <c r="G52" t="s">
        <v>777</v>
      </c>
      <c r="H52">
        <v>55</v>
      </c>
      <c r="I52" t="s">
        <v>1078</v>
      </c>
      <c r="J52" t="s">
        <v>1078</v>
      </c>
      <c r="K52" t="s">
        <v>1078</v>
      </c>
      <c r="L52" s="13">
        <v>6451.0250825829025</v>
      </c>
      <c r="M52" s="13">
        <v>18924.07585951902</v>
      </c>
      <c r="N52" s="13">
        <v>0</v>
      </c>
      <c r="O52" s="13">
        <v>11900.514659009985</v>
      </c>
      <c r="P52" s="13">
        <v>67</v>
      </c>
      <c r="Q52" t="s">
        <v>1079</v>
      </c>
      <c r="R52" t="s">
        <v>1143</v>
      </c>
    </row>
    <row r="53" spans="1:18">
      <c r="A53" t="s">
        <v>945</v>
      </c>
      <c r="B53" t="s">
        <v>810</v>
      </c>
      <c r="C53" t="s">
        <v>293</v>
      </c>
      <c r="D53" t="s">
        <v>895</v>
      </c>
      <c r="E53" t="s">
        <v>800</v>
      </c>
      <c r="F53" t="s">
        <v>770</v>
      </c>
      <c r="G53" t="s">
        <v>777</v>
      </c>
      <c r="H53">
        <v>72</v>
      </c>
      <c r="I53" t="s">
        <v>1078</v>
      </c>
      <c r="J53" t="s">
        <v>1078</v>
      </c>
      <c r="K53" t="s">
        <v>1078</v>
      </c>
      <c r="L53" s="13">
        <v>1281.0183543611899</v>
      </c>
      <c r="M53" s="13">
        <v>3041.045274090935</v>
      </c>
      <c r="N53" s="13">
        <v>0</v>
      </c>
      <c r="O53" s="13">
        <v>3213.0139969886613</v>
      </c>
      <c r="P53" s="13">
        <v>16</v>
      </c>
      <c r="Q53" t="s">
        <v>1079</v>
      </c>
      <c r="R53" t="s">
        <v>1144</v>
      </c>
    </row>
    <row r="54" spans="1:18">
      <c r="A54" t="s">
        <v>946</v>
      </c>
      <c r="B54" t="s">
        <v>811</v>
      </c>
      <c r="C54" t="s">
        <v>301</v>
      </c>
      <c r="D54" t="s">
        <v>893</v>
      </c>
      <c r="E54" t="s">
        <v>774</v>
      </c>
      <c r="F54" t="s">
        <v>770</v>
      </c>
      <c r="G54" t="s">
        <v>772</v>
      </c>
      <c r="H54">
        <v>57</v>
      </c>
      <c r="I54" t="s">
        <v>1078</v>
      </c>
      <c r="J54" t="s">
        <v>1078</v>
      </c>
      <c r="K54" t="s">
        <v>1078</v>
      </c>
      <c r="L54" s="13">
        <v>4457.0181269325985</v>
      </c>
      <c r="M54" s="13">
        <v>18855.582913932441</v>
      </c>
      <c r="N54" s="13">
        <v>0</v>
      </c>
      <c r="O54" s="13">
        <v>10568.488059485215</v>
      </c>
      <c r="P54" s="13">
        <v>2.5</v>
      </c>
      <c r="Q54" t="s">
        <v>1079</v>
      </c>
      <c r="R54" t="s">
        <v>1145</v>
      </c>
    </row>
    <row r="55" spans="1:18">
      <c r="A55" t="s">
        <v>947</v>
      </c>
      <c r="B55" t="s">
        <v>811</v>
      </c>
      <c r="C55" t="s">
        <v>301</v>
      </c>
      <c r="D55" t="s">
        <v>895</v>
      </c>
      <c r="E55" t="s">
        <v>774</v>
      </c>
      <c r="F55" t="s">
        <v>770</v>
      </c>
      <c r="G55" t="s">
        <v>772</v>
      </c>
      <c r="H55">
        <v>78</v>
      </c>
      <c r="I55" t="s">
        <v>1078</v>
      </c>
      <c r="J55" t="s">
        <v>1078</v>
      </c>
      <c r="K55" t="s">
        <v>1078</v>
      </c>
      <c r="L55" s="13">
        <v>805.70219768694005</v>
      </c>
      <c r="M55" s="13">
        <v>2773.0569343035449</v>
      </c>
      <c r="N55" s="13">
        <v>5.236929277494394E-2</v>
      </c>
      <c r="O55" s="13">
        <v>2628.5801026723352</v>
      </c>
      <c r="P55" s="13">
        <v>21</v>
      </c>
      <c r="Q55" t="s">
        <v>1079</v>
      </c>
      <c r="R55" t="s">
        <v>1146</v>
      </c>
    </row>
    <row r="56" spans="1:18">
      <c r="A56" t="s">
        <v>948</v>
      </c>
      <c r="B56" t="s">
        <v>812</v>
      </c>
      <c r="C56" t="s">
        <v>309</v>
      </c>
      <c r="D56" t="s">
        <v>893</v>
      </c>
      <c r="E56" t="s">
        <v>774</v>
      </c>
      <c r="F56" t="s">
        <v>770</v>
      </c>
      <c r="G56" t="s">
        <v>772</v>
      </c>
      <c r="H56">
        <v>59</v>
      </c>
      <c r="I56" t="s">
        <v>1078</v>
      </c>
      <c r="J56" t="s">
        <v>1078</v>
      </c>
      <c r="K56" t="s">
        <v>1078</v>
      </c>
      <c r="L56" s="13">
        <v>3637.0280962157108</v>
      </c>
      <c r="M56" s="13">
        <v>13201.109830661417</v>
      </c>
      <c r="N56" s="13">
        <v>0</v>
      </c>
      <c r="O56" s="13">
        <v>10165.669485874958</v>
      </c>
      <c r="P56" s="13">
        <v>48</v>
      </c>
      <c r="Q56" t="s">
        <v>1079</v>
      </c>
      <c r="R56" t="s">
        <v>1147</v>
      </c>
    </row>
    <row r="57" spans="1:18">
      <c r="A57" t="s">
        <v>949</v>
      </c>
      <c r="B57" t="s">
        <v>812</v>
      </c>
      <c r="C57" t="s">
        <v>309</v>
      </c>
      <c r="D57" t="s">
        <v>895</v>
      </c>
      <c r="E57" t="s">
        <v>774</v>
      </c>
      <c r="F57" t="s">
        <v>770</v>
      </c>
      <c r="G57" t="s">
        <v>772</v>
      </c>
      <c r="H57">
        <v>78</v>
      </c>
      <c r="I57" t="s">
        <v>1078</v>
      </c>
      <c r="J57" t="s">
        <v>1078</v>
      </c>
      <c r="K57" t="s">
        <v>1078</v>
      </c>
      <c r="L57" s="13">
        <v>805.25634765626467</v>
      </c>
      <c r="M57" s="13">
        <v>2174.0346388786998</v>
      </c>
      <c r="N57" s="13">
        <v>0.1175021831275333</v>
      </c>
      <c r="O57" s="13">
        <v>2798.799521875691</v>
      </c>
      <c r="P57" s="13">
        <v>67</v>
      </c>
      <c r="Q57" t="s">
        <v>1079</v>
      </c>
      <c r="R57" t="s">
        <v>1148</v>
      </c>
    </row>
    <row r="58" spans="1:18">
      <c r="A58" t="s">
        <v>950</v>
      </c>
      <c r="B58" t="s">
        <v>813</v>
      </c>
      <c r="C58" t="s">
        <v>317</v>
      </c>
      <c r="D58" t="s">
        <v>893</v>
      </c>
      <c r="E58" t="s">
        <v>774</v>
      </c>
      <c r="F58" t="s">
        <v>770</v>
      </c>
      <c r="G58" t="s">
        <v>772</v>
      </c>
      <c r="H58">
        <v>58</v>
      </c>
      <c r="I58" t="s">
        <v>1078</v>
      </c>
      <c r="J58" t="s">
        <v>1078</v>
      </c>
      <c r="K58" t="s">
        <v>1078</v>
      </c>
      <c r="L58" s="13">
        <v>4290.0118175294265</v>
      </c>
      <c r="M58" s="13">
        <v>16001.047497377893</v>
      </c>
      <c r="N58" s="13">
        <v>0</v>
      </c>
      <c r="O58" s="13">
        <v>10072.075297009531</v>
      </c>
      <c r="P58" s="13">
        <v>0</v>
      </c>
      <c r="Q58" t="s">
        <v>1079</v>
      </c>
      <c r="R58" t="s">
        <v>1149</v>
      </c>
    </row>
    <row r="59" spans="1:18">
      <c r="A59" t="s">
        <v>951</v>
      </c>
      <c r="B59" t="s">
        <v>813</v>
      </c>
      <c r="C59" t="s">
        <v>317</v>
      </c>
      <c r="D59" t="s">
        <v>895</v>
      </c>
      <c r="E59" t="s">
        <v>774</v>
      </c>
      <c r="F59" t="s">
        <v>770</v>
      </c>
      <c r="G59" t="s">
        <v>772</v>
      </c>
      <c r="H59">
        <v>79</v>
      </c>
      <c r="I59" t="s">
        <v>1078</v>
      </c>
      <c r="J59" t="s">
        <v>1078</v>
      </c>
      <c r="K59" t="s">
        <v>1078</v>
      </c>
      <c r="L59" s="13">
        <v>765.89161438133021</v>
      </c>
      <c r="M59" s="13">
        <v>2641.0425884035303</v>
      </c>
      <c r="N59" s="13">
        <v>0</v>
      </c>
      <c r="O59" s="13">
        <v>2671.6882131125767</v>
      </c>
      <c r="P59" s="13">
        <v>23</v>
      </c>
      <c r="Q59" t="s">
        <v>1079</v>
      </c>
      <c r="R59" t="s">
        <v>1150</v>
      </c>
    </row>
    <row r="60" spans="1:18">
      <c r="A60" t="s">
        <v>952</v>
      </c>
      <c r="B60" t="s">
        <v>814</v>
      </c>
      <c r="C60" t="s">
        <v>324</v>
      </c>
      <c r="D60" t="s">
        <v>893</v>
      </c>
      <c r="E60" t="s">
        <v>774</v>
      </c>
      <c r="F60" t="s">
        <v>770</v>
      </c>
      <c r="G60" t="s">
        <v>772</v>
      </c>
      <c r="H60">
        <v>58</v>
      </c>
      <c r="I60" t="s">
        <v>1078</v>
      </c>
      <c r="J60" t="s">
        <v>1078</v>
      </c>
      <c r="K60" t="s">
        <v>1078</v>
      </c>
      <c r="L60" s="13">
        <v>4431.0120641675512</v>
      </c>
      <c r="M60" s="13">
        <v>14574.042447996939</v>
      </c>
      <c r="N60" s="13">
        <v>0</v>
      </c>
      <c r="O60" s="13">
        <v>9740.0022451448294</v>
      </c>
      <c r="P60" s="13">
        <v>0</v>
      </c>
      <c r="Q60" t="s">
        <v>1079</v>
      </c>
      <c r="R60" t="s">
        <v>1151</v>
      </c>
    </row>
    <row r="61" spans="1:18">
      <c r="A61" t="s">
        <v>953</v>
      </c>
      <c r="B61" t="s">
        <v>814</v>
      </c>
      <c r="C61" t="s">
        <v>324</v>
      </c>
      <c r="D61" t="s">
        <v>895</v>
      </c>
      <c r="E61" t="s">
        <v>774</v>
      </c>
      <c r="F61" t="s">
        <v>770</v>
      </c>
      <c r="G61" t="s">
        <v>772</v>
      </c>
      <c r="H61">
        <v>80</v>
      </c>
      <c r="I61" t="s">
        <v>1078</v>
      </c>
      <c r="J61" t="s">
        <v>1078</v>
      </c>
      <c r="K61" t="s">
        <v>1078</v>
      </c>
      <c r="L61" s="13">
        <v>805.70109825133409</v>
      </c>
      <c r="M61" s="13">
        <v>2481.0525125104205</v>
      </c>
      <c r="N61" s="13">
        <v>0</v>
      </c>
      <c r="O61" s="13">
        <v>2758.4769802924611</v>
      </c>
      <c r="P61" s="13">
        <v>46</v>
      </c>
      <c r="Q61" t="s">
        <v>1079</v>
      </c>
      <c r="R61" t="s">
        <v>1152</v>
      </c>
    </row>
    <row r="62" spans="1:18">
      <c r="A62" t="s">
        <v>954</v>
      </c>
      <c r="B62" t="s">
        <v>815</v>
      </c>
      <c r="C62" t="s">
        <v>330</v>
      </c>
      <c r="D62" t="s">
        <v>893</v>
      </c>
      <c r="E62" t="s">
        <v>774</v>
      </c>
      <c r="F62" t="s">
        <v>770</v>
      </c>
      <c r="G62" t="s">
        <v>772</v>
      </c>
      <c r="H62">
        <v>58</v>
      </c>
      <c r="I62" t="s">
        <v>1078</v>
      </c>
      <c r="J62" t="s">
        <v>1078</v>
      </c>
      <c r="K62" t="s">
        <v>1078</v>
      </c>
      <c r="L62" s="13">
        <v>3648.0188595624768</v>
      </c>
      <c r="M62" s="13">
        <v>15301.085725283978</v>
      </c>
      <c r="N62" s="13">
        <v>0</v>
      </c>
      <c r="O62" s="13">
        <v>11099.141232587499</v>
      </c>
      <c r="P62" s="13">
        <v>102</v>
      </c>
      <c r="Q62" t="s">
        <v>1079</v>
      </c>
      <c r="R62" t="s">
        <v>1153</v>
      </c>
    </row>
    <row r="63" spans="1:18">
      <c r="A63" t="s">
        <v>955</v>
      </c>
      <c r="B63" t="s">
        <v>815</v>
      </c>
      <c r="C63" t="s">
        <v>330</v>
      </c>
      <c r="D63" t="s">
        <v>895</v>
      </c>
      <c r="E63" t="s">
        <v>774</v>
      </c>
      <c r="F63" t="s">
        <v>770</v>
      </c>
      <c r="G63" t="s">
        <v>772</v>
      </c>
      <c r="H63">
        <v>78</v>
      </c>
      <c r="I63" t="s">
        <v>1078</v>
      </c>
      <c r="J63" t="s">
        <v>1078</v>
      </c>
      <c r="K63" t="s">
        <v>1078</v>
      </c>
      <c r="L63" s="13">
        <v>834.70136501471075</v>
      </c>
      <c r="M63" s="13">
        <v>2801.0436184179089</v>
      </c>
      <c r="N63" s="13">
        <v>0</v>
      </c>
      <c r="O63" s="13">
        <v>2679.1828463057736</v>
      </c>
      <c r="P63" s="13">
        <v>36.000000000000114</v>
      </c>
      <c r="Q63" t="s">
        <v>1079</v>
      </c>
      <c r="R63" t="s">
        <v>1154</v>
      </c>
    </row>
    <row r="64" spans="1:18">
      <c r="A64" t="s">
        <v>956</v>
      </c>
      <c r="B64" t="s">
        <v>816</v>
      </c>
      <c r="C64" t="s">
        <v>338</v>
      </c>
      <c r="D64" t="s">
        <v>893</v>
      </c>
      <c r="E64" t="s">
        <v>774</v>
      </c>
      <c r="F64" t="s">
        <v>770</v>
      </c>
      <c r="G64" t="s">
        <v>772</v>
      </c>
      <c r="H64">
        <v>57</v>
      </c>
      <c r="I64" t="s">
        <v>1078</v>
      </c>
      <c r="J64" t="s">
        <v>1078</v>
      </c>
      <c r="K64" t="s">
        <v>1078</v>
      </c>
      <c r="L64" s="13">
        <v>4425.019594113649</v>
      </c>
      <c r="M64" s="13">
        <v>19595.59325346681</v>
      </c>
      <c r="N64" s="13">
        <v>0</v>
      </c>
      <c r="O64" s="13">
        <v>10565.793639312351</v>
      </c>
      <c r="P64" s="13">
        <v>0</v>
      </c>
      <c r="Q64" t="s">
        <v>1079</v>
      </c>
      <c r="R64" t="s">
        <v>1155</v>
      </c>
    </row>
    <row r="65" spans="1:18">
      <c r="A65" t="s">
        <v>957</v>
      </c>
      <c r="B65" t="s">
        <v>816</v>
      </c>
      <c r="C65" t="s">
        <v>338</v>
      </c>
      <c r="D65" t="s">
        <v>895</v>
      </c>
      <c r="E65" t="s">
        <v>774</v>
      </c>
      <c r="F65" t="s">
        <v>770</v>
      </c>
      <c r="G65" t="s">
        <v>772</v>
      </c>
      <c r="H65">
        <v>75</v>
      </c>
      <c r="I65" t="s">
        <v>1078</v>
      </c>
      <c r="J65" t="s">
        <v>1078</v>
      </c>
      <c r="K65" t="s">
        <v>1078</v>
      </c>
      <c r="L65" s="13">
        <v>805.20282226948405</v>
      </c>
      <c r="M65" s="13">
        <v>3201.0309215811535</v>
      </c>
      <c r="N65" s="13">
        <v>0</v>
      </c>
      <c r="O65" s="13">
        <v>2717.0207491420406</v>
      </c>
      <c r="P65" s="13">
        <v>17</v>
      </c>
      <c r="Q65" t="s">
        <v>1079</v>
      </c>
      <c r="R65" t="s">
        <v>1156</v>
      </c>
    </row>
    <row r="66" spans="1:18">
      <c r="A66" t="s">
        <v>958</v>
      </c>
      <c r="B66" t="s">
        <v>817</v>
      </c>
      <c r="C66" t="s">
        <v>346</v>
      </c>
      <c r="D66" t="s">
        <v>893</v>
      </c>
      <c r="E66" t="s">
        <v>774</v>
      </c>
      <c r="F66" t="s">
        <v>770</v>
      </c>
      <c r="G66" t="s">
        <v>772</v>
      </c>
      <c r="H66">
        <v>59</v>
      </c>
      <c r="I66" t="s">
        <v>1078</v>
      </c>
      <c r="J66" t="s">
        <v>1078</v>
      </c>
      <c r="K66" t="s">
        <v>1078</v>
      </c>
      <c r="L66" s="13">
        <v>3633.0141702317756</v>
      </c>
      <c r="M66" s="13">
        <v>17101.072139361786</v>
      </c>
      <c r="N66" s="13">
        <v>0</v>
      </c>
      <c r="O66" s="13">
        <v>11780.246518717206</v>
      </c>
      <c r="P66" s="13">
        <v>27</v>
      </c>
      <c r="Q66" t="s">
        <v>1079</v>
      </c>
      <c r="R66" t="s">
        <v>1157</v>
      </c>
    </row>
    <row r="67" spans="1:18">
      <c r="A67" t="s">
        <v>959</v>
      </c>
      <c r="B67" t="s">
        <v>817</v>
      </c>
      <c r="C67" t="s">
        <v>346</v>
      </c>
      <c r="D67" t="s">
        <v>895</v>
      </c>
      <c r="E67" t="s">
        <v>774</v>
      </c>
      <c r="F67" t="s">
        <v>770</v>
      </c>
      <c r="G67" t="s">
        <v>772</v>
      </c>
      <c r="H67">
        <v>76</v>
      </c>
      <c r="I67" t="s">
        <v>1078</v>
      </c>
      <c r="J67" t="s">
        <v>1078</v>
      </c>
      <c r="K67" t="s">
        <v>1078</v>
      </c>
      <c r="L67" s="13">
        <v>806.29600007815156</v>
      </c>
      <c r="M67" s="13">
        <v>3121.0337589650726</v>
      </c>
      <c r="N67" s="13">
        <v>0</v>
      </c>
      <c r="O67" s="13">
        <v>2677.6105073920698</v>
      </c>
      <c r="P67" s="13">
        <v>35</v>
      </c>
      <c r="Q67" t="s">
        <v>1079</v>
      </c>
      <c r="R67" t="s">
        <v>1158</v>
      </c>
    </row>
    <row r="68" spans="1:18">
      <c r="A68" t="s">
        <v>960</v>
      </c>
      <c r="B68" t="s">
        <v>818</v>
      </c>
      <c r="C68" t="s">
        <v>354</v>
      </c>
      <c r="D68" t="s">
        <v>893</v>
      </c>
      <c r="E68" t="s">
        <v>774</v>
      </c>
      <c r="F68" t="s">
        <v>770</v>
      </c>
      <c r="G68" t="s">
        <v>772</v>
      </c>
      <c r="H68">
        <v>59</v>
      </c>
      <c r="I68" t="s">
        <v>1078</v>
      </c>
      <c r="J68" t="s">
        <v>1078</v>
      </c>
      <c r="K68" t="s">
        <v>1078</v>
      </c>
      <c r="L68" s="13">
        <v>3633.0154400385645</v>
      </c>
      <c r="M68" s="13">
        <v>15901.072989273216</v>
      </c>
      <c r="N68" s="13">
        <v>0</v>
      </c>
      <c r="O68" s="13">
        <v>10831.965992020712</v>
      </c>
      <c r="P68" s="13">
        <v>34</v>
      </c>
      <c r="Q68" t="s">
        <v>1079</v>
      </c>
      <c r="R68" t="s">
        <v>1159</v>
      </c>
    </row>
    <row r="69" spans="1:18">
      <c r="A69" t="s">
        <v>961</v>
      </c>
      <c r="B69" t="s">
        <v>818</v>
      </c>
      <c r="C69" t="s">
        <v>354</v>
      </c>
      <c r="D69" t="s">
        <v>895</v>
      </c>
      <c r="E69" t="s">
        <v>774</v>
      </c>
      <c r="F69" t="s">
        <v>770</v>
      </c>
      <c r="G69" t="s">
        <v>772</v>
      </c>
      <c r="H69">
        <v>77</v>
      </c>
      <c r="I69" t="s">
        <v>1078</v>
      </c>
      <c r="J69" t="s">
        <v>1078</v>
      </c>
      <c r="K69" t="s">
        <v>1078</v>
      </c>
      <c r="L69" s="13">
        <v>805.20392825914041</v>
      </c>
      <c r="M69" s="13">
        <v>2881.0897604157285</v>
      </c>
      <c r="N69" s="13">
        <v>0</v>
      </c>
      <c r="O69" s="13">
        <v>2680.3445392969188</v>
      </c>
      <c r="P69" s="13">
        <v>29</v>
      </c>
      <c r="Q69" t="s">
        <v>1079</v>
      </c>
      <c r="R69" t="s">
        <v>1160</v>
      </c>
    </row>
    <row r="70" spans="1:18">
      <c r="A70" t="s">
        <v>962</v>
      </c>
      <c r="B70" t="s">
        <v>819</v>
      </c>
      <c r="C70" t="s">
        <v>361</v>
      </c>
      <c r="D70" t="s">
        <v>893</v>
      </c>
      <c r="E70" t="s">
        <v>774</v>
      </c>
      <c r="F70" t="s">
        <v>770</v>
      </c>
      <c r="G70" t="s">
        <v>772</v>
      </c>
      <c r="H70">
        <v>59</v>
      </c>
      <c r="I70" t="s">
        <v>1078</v>
      </c>
      <c r="J70" t="s">
        <v>1078</v>
      </c>
      <c r="K70" t="s">
        <v>1078</v>
      </c>
      <c r="L70" s="13">
        <v>3636.0134773753543</v>
      </c>
      <c r="M70" s="13">
        <v>14251.056972541275</v>
      </c>
      <c r="N70" s="13">
        <v>0</v>
      </c>
      <c r="O70" s="13">
        <v>10752.916591699744</v>
      </c>
      <c r="P70" s="13">
        <v>58</v>
      </c>
      <c r="Q70" t="s">
        <v>1079</v>
      </c>
      <c r="R70" t="s">
        <v>1161</v>
      </c>
    </row>
    <row r="71" spans="1:18">
      <c r="A71" t="s">
        <v>963</v>
      </c>
      <c r="B71" t="s">
        <v>819</v>
      </c>
      <c r="C71" t="s">
        <v>361</v>
      </c>
      <c r="D71" t="s">
        <v>895</v>
      </c>
      <c r="E71" t="s">
        <v>774</v>
      </c>
      <c r="F71" t="s">
        <v>770</v>
      </c>
      <c r="G71" t="s">
        <v>772</v>
      </c>
      <c r="H71">
        <v>78</v>
      </c>
      <c r="I71" t="s">
        <v>1078</v>
      </c>
      <c r="J71" t="s">
        <v>1078</v>
      </c>
      <c r="K71" t="s">
        <v>1078</v>
      </c>
      <c r="L71" s="13">
        <v>805.20223685008034</v>
      </c>
      <c r="M71" s="13">
        <v>2681.0558762021797</v>
      </c>
      <c r="N71" s="13">
        <v>4.0847756279363252E-4</v>
      </c>
      <c r="O71" s="13">
        <v>2792.5316911653704</v>
      </c>
      <c r="P71" s="13">
        <v>25</v>
      </c>
      <c r="Q71" t="s">
        <v>1079</v>
      </c>
      <c r="R71" t="s">
        <v>1162</v>
      </c>
    </row>
    <row r="72" spans="1:18">
      <c r="A72" t="s">
        <v>964</v>
      </c>
      <c r="B72" t="s">
        <v>820</v>
      </c>
      <c r="C72" t="s">
        <v>369</v>
      </c>
      <c r="D72" t="s">
        <v>893</v>
      </c>
      <c r="E72" t="s">
        <v>774</v>
      </c>
      <c r="F72" t="s">
        <v>770</v>
      </c>
      <c r="G72" t="s">
        <v>772</v>
      </c>
      <c r="H72">
        <v>57</v>
      </c>
      <c r="I72" t="s">
        <v>1078</v>
      </c>
      <c r="J72" t="s">
        <v>1078</v>
      </c>
      <c r="K72" t="s">
        <v>1078</v>
      </c>
      <c r="L72" s="13">
        <v>4446.0115108485024</v>
      </c>
      <c r="M72" s="13">
        <v>18181.55073299896</v>
      </c>
      <c r="N72" s="13">
        <v>0</v>
      </c>
      <c r="O72" s="13">
        <v>10501.190462666564</v>
      </c>
      <c r="P72" s="13">
        <v>3.5</v>
      </c>
      <c r="Q72" t="s">
        <v>1079</v>
      </c>
      <c r="R72" t="s">
        <v>1163</v>
      </c>
    </row>
    <row r="73" spans="1:18">
      <c r="A73" t="s">
        <v>965</v>
      </c>
      <c r="B73" t="s">
        <v>820</v>
      </c>
      <c r="C73" t="s">
        <v>369</v>
      </c>
      <c r="D73" t="s">
        <v>895</v>
      </c>
      <c r="E73" t="s">
        <v>774</v>
      </c>
      <c r="F73" t="s">
        <v>770</v>
      </c>
      <c r="G73" t="s">
        <v>772</v>
      </c>
      <c r="H73">
        <v>76</v>
      </c>
      <c r="I73" t="s">
        <v>1078</v>
      </c>
      <c r="J73" t="s">
        <v>1078</v>
      </c>
      <c r="K73" t="s">
        <v>1078</v>
      </c>
      <c r="L73" s="13">
        <v>805.70374134072199</v>
      </c>
      <c r="M73" s="13">
        <v>3041.0914449666589</v>
      </c>
      <c r="N73" s="13">
        <v>0</v>
      </c>
      <c r="O73" s="13">
        <v>2954.8223950282436</v>
      </c>
      <c r="P73" s="13">
        <v>42</v>
      </c>
      <c r="Q73" t="s">
        <v>1079</v>
      </c>
      <c r="R73" t="s">
        <v>1164</v>
      </c>
    </row>
    <row r="74" spans="1:18">
      <c r="A74" t="s">
        <v>966</v>
      </c>
      <c r="B74" t="s">
        <v>821</v>
      </c>
      <c r="C74" t="s">
        <v>380</v>
      </c>
      <c r="D74" t="s">
        <v>893</v>
      </c>
      <c r="E74" t="s">
        <v>774</v>
      </c>
      <c r="F74" t="s">
        <v>770</v>
      </c>
      <c r="G74" t="s">
        <v>772</v>
      </c>
      <c r="H74">
        <v>54</v>
      </c>
      <c r="I74" t="s">
        <v>1078</v>
      </c>
      <c r="J74" t="s">
        <v>1078</v>
      </c>
      <c r="K74" t="s">
        <v>1078</v>
      </c>
      <c r="L74" s="13">
        <v>4790.02271371596</v>
      </c>
      <c r="M74" s="13">
        <v>13398.072347391575</v>
      </c>
      <c r="N74" s="13">
        <v>0</v>
      </c>
      <c r="O74" s="13">
        <v>9998.0935836641456</v>
      </c>
      <c r="P74" s="13">
        <v>184</v>
      </c>
      <c r="Q74" t="s">
        <v>1079</v>
      </c>
      <c r="R74" t="s">
        <v>1165</v>
      </c>
    </row>
    <row r="75" spans="1:18">
      <c r="A75" t="s">
        <v>967</v>
      </c>
      <c r="B75" t="s">
        <v>821</v>
      </c>
      <c r="C75" t="s">
        <v>380</v>
      </c>
      <c r="D75" t="s">
        <v>895</v>
      </c>
      <c r="E75" t="s">
        <v>774</v>
      </c>
      <c r="F75" t="s">
        <v>770</v>
      </c>
      <c r="G75" t="s">
        <v>772</v>
      </c>
      <c r="H75">
        <v>81</v>
      </c>
      <c r="I75" t="s">
        <v>1078</v>
      </c>
      <c r="J75" t="s">
        <v>1078</v>
      </c>
      <c r="K75" t="s">
        <v>1078</v>
      </c>
      <c r="L75" s="13">
        <v>805.7030696145905</v>
      </c>
      <c r="M75" s="13">
        <v>2361.0460944563092</v>
      </c>
      <c r="N75" s="13">
        <v>0</v>
      </c>
      <c r="O75" s="13">
        <v>2709.2436672238682</v>
      </c>
      <c r="P75" s="13">
        <v>29</v>
      </c>
      <c r="Q75" t="s">
        <v>1079</v>
      </c>
      <c r="R75" t="s">
        <v>1166</v>
      </c>
    </row>
    <row r="76" spans="1:18">
      <c r="A76" t="s">
        <v>968</v>
      </c>
      <c r="B76" t="s">
        <v>822</v>
      </c>
      <c r="C76" t="s">
        <v>392</v>
      </c>
      <c r="D76" t="s">
        <v>893</v>
      </c>
      <c r="E76" t="s">
        <v>798</v>
      </c>
      <c r="F76" t="s">
        <v>798</v>
      </c>
      <c r="G76" t="s">
        <v>772</v>
      </c>
      <c r="H76">
        <v>86</v>
      </c>
      <c r="I76" t="s">
        <v>1078</v>
      </c>
      <c r="J76" t="s">
        <v>1078</v>
      </c>
      <c r="K76" t="s">
        <v>1078</v>
      </c>
      <c r="L76" s="13">
        <v>1951.1514338530781</v>
      </c>
      <c r="M76" s="13">
        <v>2272.1789672809105</v>
      </c>
      <c r="N76" s="13">
        <v>4.1088004629033512E-3</v>
      </c>
      <c r="O76" s="13">
        <v>2257.4232828244776</v>
      </c>
      <c r="P76" s="13">
        <v>422.5</v>
      </c>
      <c r="Q76" t="s">
        <v>1079</v>
      </c>
      <c r="R76" t="s">
        <v>1167</v>
      </c>
    </row>
    <row r="77" spans="1:18">
      <c r="A77" t="s">
        <v>969</v>
      </c>
      <c r="B77" t="s">
        <v>822</v>
      </c>
      <c r="C77" t="s">
        <v>392</v>
      </c>
      <c r="D77" t="s">
        <v>895</v>
      </c>
      <c r="E77" t="s">
        <v>798</v>
      </c>
      <c r="F77" t="s">
        <v>798</v>
      </c>
      <c r="G77" t="s">
        <v>772</v>
      </c>
      <c r="H77">
        <v>80</v>
      </c>
      <c r="I77" t="s">
        <v>1078</v>
      </c>
      <c r="J77" t="s">
        <v>1078</v>
      </c>
      <c r="K77" t="s">
        <v>1078</v>
      </c>
      <c r="L77" s="13">
        <v>491.7487410987672</v>
      </c>
      <c r="M77" s="13">
        <v>589.06863878842273</v>
      </c>
      <c r="N77" s="13">
        <v>5.926807364569092E-3</v>
      </c>
      <c r="O77" s="13">
        <v>683.30097309075268</v>
      </c>
      <c r="P77" s="13">
        <v>473.50000000000011</v>
      </c>
      <c r="Q77" t="s">
        <v>1079</v>
      </c>
      <c r="R77" t="s">
        <v>1168</v>
      </c>
    </row>
    <row r="78" spans="1:18">
      <c r="A78" t="s">
        <v>970</v>
      </c>
      <c r="B78" t="s">
        <v>823</v>
      </c>
      <c r="C78" t="s">
        <v>396</v>
      </c>
      <c r="D78" t="s">
        <v>893</v>
      </c>
      <c r="E78" t="s">
        <v>798</v>
      </c>
      <c r="F78" t="s">
        <v>798</v>
      </c>
      <c r="G78" t="s">
        <v>772</v>
      </c>
      <c r="H78">
        <v>78</v>
      </c>
      <c r="I78" t="s">
        <v>1078</v>
      </c>
      <c r="J78" t="s">
        <v>1078</v>
      </c>
      <c r="K78" t="s">
        <v>1078</v>
      </c>
      <c r="L78" s="13">
        <v>1951.0512138250731</v>
      </c>
      <c r="M78" s="13">
        <v>2276.060525429632</v>
      </c>
      <c r="N78" s="13">
        <v>1.303076718235063E-2</v>
      </c>
      <c r="O78" s="13">
        <v>2159.6347353340807</v>
      </c>
      <c r="P78" s="13">
        <v>780.5</v>
      </c>
      <c r="Q78" t="s">
        <v>1079</v>
      </c>
      <c r="R78" t="s">
        <v>1169</v>
      </c>
    </row>
    <row r="79" spans="1:18">
      <c r="A79" t="s">
        <v>971</v>
      </c>
      <c r="B79" t="s">
        <v>823</v>
      </c>
      <c r="C79" t="s">
        <v>396</v>
      </c>
      <c r="D79" t="s">
        <v>895</v>
      </c>
      <c r="E79" t="s">
        <v>798</v>
      </c>
      <c r="F79" t="s">
        <v>798</v>
      </c>
      <c r="G79" t="s">
        <v>772</v>
      </c>
      <c r="H79">
        <v>81</v>
      </c>
      <c r="I79" t="s">
        <v>1078</v>
      </c>
      <c r="J79" t="s">
        <v>1078</v>
      </c>
      <c r="K79" t="s">
        <v>1078</v>
      </c>
      <c r="L79" s="13">
        <v>461.71651543941994</v>
      </c>
      <c r="M79" s="13">
        <v>584.05589416748649</v>
      </c>
      <c r="N79" s="13">
        <v>1.48259452161012E-2</v>
      </c>
      <c r="O79" s="13">
        <v>666.92557520327159</v>
      </c>
      <c r="P79" s="13">
        <v>439.5</v>
      </c>
      <c r="Q79" t="s">
        <v>1079</v>
      </c>
      <c r="R79" t="s">
        <v>1170</v>
      </c>
    </row>
    <row r="80" spans="1:18">
      <c r="A80" t="s">
        <v>972</v>
      </c>
      <c r="B80" t="s">
        <v>824</v>
      </c>
      <c r="C80" t="s">
        <v>402</v>
      </c>
      <c r="D80" t="s">
        <v>893</v>
      </c>
      <c r="E80" t="s">
        <v>798</v>
      </c>
      <c r="F80" t="s">
        <v>798</v>
      </c>
      <c r="G80" t="s">
        <v>772</v>
      </c>
      <c r="H80">
        <v>81</v>
      </c>
      <c r="I80" t="s">
        <v>1078</v>
      </c>
      <c r="J80" t="s">
        <v>1078</v>
      </c>
      <c r="K80" t="s">
        <v>1078</v>
      </c>
      <c r="L80" s="13">
        <v>1951.0749402838933</v>
      </c>
      <c r="M80" s="13">
        <v>2284.0885657900558</v>
      </c>
      <c r="N80" s="13">
        <v>1.5026470264332259E-2</v>
      </c>
      <c r="O80" s="13">
        <v>2240.974448652813</v>
      </c>
      <c r="P80" s="13">
        <v>607.5</v>
      </c>
      <c r="Q80" t="s">
        <v>1079</v>
      </c>
      <c r="R80" t="s">
        <v>1171</v>
      </c>
    </row>
    <row r="81" spans="1:18">
      <c r="A81" t="s">
        <v>973</v>
      </c>
      <c r="B81" t="s">
        <v>824</v>
      </c>
      <c r="C81" t="s">
        <v>402</v>
      </c>
      <c r="D81" t="s">
        <v>895</v>
      </c>
      <c r="E81" t="s">
        <v>798</v>
      </c>
      <c r="F81" t="s">
        <v>798</v>
      </c>
      <c r="G81" t="s">
        <v>772</v>
      </c>
      <c r="H81">
        <v>76</v>
      </c>
      <c r="I81" t="s">
        <v>1078</v>
      </c>
      <c r="J81" t="s">
        <v>1078</v>
      </c>
      <c r="K81" t="s">
        <v>1078</v>
      </c>
      <c r="L81" s="13">
        <v>463.71798079131997</v>
      </c>
      <c r="M81" s="13">
        <v>600.06004915242045</v>
      </c>
      <c r="N81" s="13">
        <v>2.2988151614211617E-2</v>
      </c>
      <c r="O81" s="13">
        <v>719.67105720738232</v>
      </c>
      <c r="P81" s="13">
        <v>599.5</v>
      </c>
      <c r="Q81" t="s">
        <v>1079</v>
      </c>
      <c r="R81" t="s">
        <v>1172</v>
      </c>
    </row>
    <row r="82" spans="1:18">
      <c r="A82" t="s">
        <v>974</v>
      </c>
      <c r="B82" t="s">
        <v>825</v>
      </c>
      <c r="C82" t="s">
        <v>405</v>
      </c>
      <c r="D82" t="s">
        <v>893</v>
      </c>
      <c r="E82" t="s">
        <v>800</v>
      </c>
      <c r="F82" t="s">
        <v>770</v>
      </c>
      <c r="G82" t="s">
        <v>777</v>
      </c>
      <c r="H82">
        <v>57</v>
      </c>
      <c r="I82" t="s">
        <v>1078</v>
      </c>
      <c r="J82" t="s">
        <v>1078</v>
      </c>
      <c r="K82" t="s">
        <v>1078</v>
      </c>
      <c r="L82" s="13">
        <v>4051.0223039169441</v>
      </c>
      <c r="M82" s="13">
        <v>13951.081186257674</v>
      </c>
      <c r="N82" s="13">
        <v>1.098666717183961E-3</v>
      </c>
      <c r="O82" s="13">
        <v>12183.272536406283</v>
      </c>
      <c r="P82" s="13">
        <v>16</v>
      </c>
      <c r="Q82" t="s">
        <v>1079</v>
      </c>
      <c r="R82" t="s">
        <v>1173</v>
      </c>
    </row>
    <row r="83" spans="1:18">
      <c r="A83" t="s">
        <v>975</v>
      </c>
      <c r="B83" t="s">
        <v>825</v>
      </c>
      <c r="C83" t="s">
        <v>405</v>
      </c>
      <c r="D83" t="s">
        <v>895</v>
      </c>
      <c r="E83" t="s">
        <v>800</v>
      </c>
      <c r="F83" t="s">
        <v>770</v>
      </c>
      <c r="G83" t="s">
        <v>777</v>
      </c>
      <c r="H83">
        <v>79</v>
      </c>
      <c r="I83" t="s">
        <v>1078</v>
      </c>
      <c r="J83" t="s">
        <v>1078</v>
      </c>
      <c r="K83" t="s">
        <v>1078</v>
      </c>
      <c r="L83" s="13">
        <v>1201.0305137193011</v>
      </c>
      <c r="M83" s="13">
        <v>2301.0604825507576</v>
      </c>
      <c r="N83" s="13">
        <v>1.465500742706568E-4</v>
      </c>
      <c r="O83" s="13">
        <v>2897.7576152534784</v>
      </c>
      <c r="P83" s="13">
        <v>4</v>
      </c>
      <c r="Q83" t="s">
        <v>1079</v>
      </c>
      <c r="R83" t="s">
        <v>1174</v>
      </c>
    </row>
    <row r="84" spans="1:18">
      <c r="A84" t="s">
        <v>976</v>
      </c>
      <c r="B84" t="s">
        <v>826</v>
      </c>
      <c r="C84" t="s">
        <v>409</v>
      </c>
      <c r="D84" t="s">
        <v>893</v>
      </c>
      <c r="E84" t="s">
        <v>800</v>
      </c>
      <c r="F84" t="s">
        <v>770</v>
      </c>
      <c r="G84" t="s">
        <v>777</v>
      </c>
      <c r="H84">
        <v>58</v>
      </c>
      <c r="I84" t="s">
        <v>1078</v>
      </c>
      <c r="J84" t="s">
        <v>1078</v>
      </c>
      <c r="K84" t="s">
        <v>1078</v>
      </c>
      <c r="L84" s="13">
        <v>4051.0207984251151</v>
      </c>
      <c r="M84" s="13">
        <v>16201.088185322487</v>
      </c>
      <c r="N84" s="13">
        <v>1.098666717183961E-3</v>
      </c>
      <c r="O84" s="13">
        <v>10688.253851865375</v>
      </c>
      <c r="P84" s="13">
        <v>26</v>
      </c>
      <c r="Q84" t="s">
        <v>1079</v>
      </c>
      <c r="R84" t="s">
        <v>1175</v>
      </c>
    </row>
    <row r="85" spans="1:18">
      <c r="A85" t="s">
        <v>977</v>
      </c>
      <c r="B85" t="s">
        <v>826</v>
      </c>
      <c r="C85" t="s">
        <v>409</v>
      </c>
      <c r="D85" t="s">
        <v>895</v>
      </c>
      <c r="E85" t="s">
        <v>800</v>
      </c>
      <c r="F85" t="s">
        <v>770</v>
      </c>
      <c r="G85" t="s">
        <v>777</v>
      </c>
      <c r="H85">
        <v>75</v>
      </c>
      <c r="I85" t="s">
        <v>1078</v>
      </c>
      <c r="J85" t="s">
        <v>1078</v>
      </c>
      <c r="K85" t="s">
        <v>1078</v>
      </c>
      <c r="L85" s="13">
        <v>1241.0254755758158</v>
      </c>
      <c r="M85" s="13">
        <v>2781.0592965988808</v>
      </c>
      <c r="N85" s="13">
        <v>1.075279287216583E-6</v>
      </c>
      <c r="O85" s="13">
        <v>2808.8061940393354</v>
      </c>
      <c r="P85" s="13">
        <v>6</v>
      </c>
      <c r="Q85" t="s">
        <v>1079</v>
      </c>
      <c r="R85" t="s">
        <v>1176</v>
      </c>
    </row>
    <row r="86" spans="1:18">
      <c r="A86" t="s">
        <v>978</v>
      </c>
      <c r="B86" t="s">
        <v>827</v>
      </c>
      <c r="C86" t="s">
        <v>412</v>
      </c>
      <c r="D86" t="s">
        <v>893</v>
      </c>
      <c r="E86" t="s">
        <v>798</v>
      </c>
      <c r="F86" t="s">
        <v>798</v>
      </c>
      <c r="G86" t="s">
        <v>772</v>
      </c>
      <c r="H86">
        <v>88</v>
      </c>
      <c r="I86" t="s">
        <v>1078</v>
      </c>
      <c r="J86" t="s">
        <v>1078</v>
      </c>
      <c r="K86" t="s">
        <v>1078</v>
      </c>
      <c r="L86" s="13">
        <v>1809.9957582673765</v>
      </c>
      <c r="M86" s="13">
        <v>2111.7949099208518</v>
      </c>
      <c r="N86" s="13">
        <v>0</v>
      </c>
      <c r="O86" s="13">
        <v>1809.9957582673765</v>
      </c>
      <c r="P86" s="13">
        <v>408.50000000000045</v>
      </c>
      <c r="Q86" t="s">
        <v>1079</v>
      </c>
      <c r="R86" t="s">
        <v>1177</v>
      </c>
    </row>
    <row r="87" spans="1:18">
      <c r="A87" t="s">
        <v>979</v>
      </c>
      <c r="B87" t="s">
        <v>827</v>
      </c>
      <c r="C87" t="s">
        <v>412</v>
      </c>
      <c r="D87" t="s">
        <v>895</v>
      </c>
      <c r="E87" t="s">
        <v>798</v>
      </c>
      <c r="F87" t="s">
        <v>798</v>
      </c>
      <c r="G87" t="s">
        <v>772</v>
      </c>
      <c r="H87">
        <v>84</v>
      </c>
      <c r="I87" t="s">
        <v>1078</v>
      </c>
      <c r="J87" t="s">
        <v>1078</v>
      </c>
      <c r="K87" t="s">
        <v>1078</v>
      </c>
      <c r="L87" s="13">
        <v>463.39592892822503</v>
      </c>
      <c r="M87" s="13">
        <v>533.99321488037515</v>
      </c>
      <c r="N87" s="13">
        <v>0</v>
      </c>
      <c r="O87" s="13">
        <v>482.20354372523195</v>
      </c>
      <c r="P87" s="13">
        <v>364.5</v>
      </c>
      <c r="Q87" t="s">
        <v>1079</v>
      </c>
      <c r="R87" t="s">
        <v>1178</v>
      </c>
    </row>
    <row r="88" spans="1:18">
      <c r="A88" t="s">
        <v>980</v>
      </c>
      <c r="B88" t="s">
        <v>828</v>
      </c>
      <c r="C88" t="s">
        <v>419</v>
      </c>
      <c r="D88" t="s">
        <v>893</v>
      </c>
      <c r="E88" t="s">
        <v>829</v>
      </c>
      <c r="F88" t="s">
        <v>830</v>
      </c>
      <c r="G88" t="s">
        <v>831</v>
      </c>
      <c r="H88">
        <v>56</v>
      </c>
      <c r="I88" t="s">
        <v>1078</v>
      </c>
      <c r="J88" t="s">
        <v>1078</v>
      </c>
      <c r="K88" t="s">
        <v>1078</v>
      </c>
      <c r="L88" s="13">
        <v>6451.0326420880065</v>
      </c>
      <c r="M88" s="13">
        <v>34426.181123781018</v>
      </c>
      <c r="N88" s="13">
        <v>2.8351045705843399E-3</v>
      </c>
      <c r="O88" s="13">
        <v>11763.132349422833</v>
      </c>
      <c r="P88" s="13">
        <v>24</v>
      </c>
      <c r="Q88" t="s">
        <v>1079</v>
      </c>
      <c r="R88" t="s">
        <v>1179</v>
      </c>
    </row>
    <row r="89" spans="1:18">
      <c r="A89" t="s">
        <v>981</v>
      </c>
      <c r="B89" t="s">
        <v>828</v>
      </c>
      <c r="C89" t="s">
        <v>419</v>
      </c>
      <c r="D89" t="s">
        <v>895</v>
      </c>
      <c r="E89" t="s">
        <v>829</v>
      </c>
      <c r="F89" t="s">
        <v>830</v>
      </c>
      <c r="G89" t="s">
        <v>831</v>
      </c>
      <c r="H89">
        <v>66</v>
      </c>
      <c r="I89" t="s">
        <v>1078</v>
      </c>
      <c r="J89" t="s">
        <v>1078</v>
      </c>
      <c r="K89" t="s">
        <v>1078</v>
      </c>
      <c r="L89" s="13">
        <v>1281.0250642378439</v>
      </c>
      <c r="M89" s="13">
        <v>5221.107358485433</v>
      </c>
      <c r="N89" s="13">
        <v>5.0011594997049771E-5</v>
      </c>
      <c r="O89" s="13">
        <v>3071.5817549355966</v>
      </c>
      <c r="P89" s="13">
        <v>18</v>
      </c>
      <c r="Q89" t="s">
        <v>1079</v>
      </c>
      <c r="R89" t="s">
        <v>1180</v>
      </c>
    </row>
    <row r="90" spans="1:18">
      <c r="A90" t="s">
        <v>982</v>
      </c>
      <c r="B90" t="s">
        <v>832</v>
      </c>
      <c r="C90" t="s">
        <v>426</v>
      </c>
      <c r="D90" t="s">
        <v>893</v>
      </c>
      <c r="E90" t="s">
        <v>829</v>
      </c>
      <c r="F90" t="s">
        <v>830</v>
      </c>
      <c r="G90" t="s">
        <v>831</v>
      </c>
      <c r="H90">
        <v>56</v>
      </c>
      <c r="I90" t="s">
        <v>1078</v>
      </c>
      <c r="J90" t="s">
        <v>1078</v>
      </c>
      <c r="K90" t="s">
        <v>1078</v>
      </c>
      <c r="L90" s="13">
        <v>6601.0435450530895</v>
      </c>
      <c r="M90" s="13">
        <v>16051.108862632724</v>
      </c>
      <c r="N90" s="13">
        <v>1.19243366652339E-3</v>
      </c>
      <c r="O90" s="13">
        <v>11921.526336695217</v>
      </c>
      <c r="P90" s="13">
        <v>20</v>
      </c>
      <c r="Q90" t="s">
        <v>1079</v>
      </c>
      <c r="R90" t="s">
        <v>1181</v>
      </c>
    </row>
    <row r="91" spans="1:18">
      <c r="A91" t="s">
        <v>983</v>
      </c>
      <c r="B91" t="s">
        <v>832</v>
      </c>
      <c r="C91" t="s">
        <v>426</v>
      </c>
      <c r="D91" t="s">
        <v>895</v>
      </c>
      <c r="E91" t="s">
        <v>829</v>
      </c>
      <c r="F91" t="s">
        <v>830</v>
      </c>
      <c r="G91" t="s">
        <v>831</v>
      </c>
      <c r="H91">
        <v>75</v>
      </c>
      <c r="I91" t="s">
        <v>1078</v>
      </c>
      <c r="J91" t="s">
        <v>1078</v>
      </c>
      <c r="K91" t="s">
        <v>1078</v>
      </c>
      <c r="L91" s="13">
        <v>1281.0391304060554</v>
      </c>
      <c r="M91" s="13">
        <v>2701.0854347198879</v>
      </c>
      <c r="N91" s="13">
        <v>8.2993321610000414E-4</v>
      </c>
      <c r="O91" s="13">
        <v>2824.6056837775204</v>
      </c>
      <c r="P91" s="13">
        <v>12</v>
      </c>
      <c r="Q91" t="s">
        <v>1079</v>
      </c>
      <c r="R91" t="s">
        <v>1182</v>
      </c>
    </row>
    <row r="92" spans="1:18">
      <c r="A92" t="s">
        <v>984</v>
      </c>
      <c r="B92" t="s">
        <v>833</v>
      </c>
      <c r="C92" t="s">
        <v>432</v>
      </c>
      <c r="D92" t="s">
        <v>893</v>
      </c>
      <c r="E92" t="s">
        <v>829</v>
      </c>
      <c r="F92" t="s">
        <v>830</v>
      </c>
      <c r="G92" t="s">
        <v>831</v>
      </c>
      <c r="H92">
        <v>56</v>
      </c>
      <c r="I92" t="s">
        <v>1078</v>
      </c>
      <c r="J92" t="s">
        <v>1078</v>
      </c>
      <c r="K92" t="s">
        <v>1078</v>
      </c>
      <c r="L92" s="13">
        <v>7351.0429478189544</v>
      </c>
      <c r="M92" s="13">
        <v>35776.216109769855</v>
      </c>
      <c r="N92" s="13">
        <v>0</v>
      </c>
      <c r="O92" s="13">
        <v>10916.251395768481</v>
      </c>
      <c r="P92" s="13">
        <v>0</v>
      </c>
      <c r="Q92" t="s">
        <v>1079</v>
      </c>
      <c r="R92" t="s">
        <v>1183</v>
      </c>
    </row>
    <row r="93" spans="1:18">
      <c r="A93" t="s">
        <v>985</v>
      </c>
      <c r="B93" t="s">
        <v>833</v>
      </c>
      <c r="C93" t="s">
        <v>432</v>
      </c>
      <c r="D93" t="s">
        <v>895</v>
      </c>
      <c r="E93" t="s">
        <v>829</v>
      </c>
      <c r="F93" t="s">
        <v>830</v>
      </c>
      <c r="G93" t="s">
        <v>831</v>
      </c>
      <c r="H93">
        <v>66</v>
      </c>
      <c r="I93" t="s">
        <v>1078</v>
      </c>
      <c r="J93" t="s">
        <v>1078</v>
      </c>
      <c r="K93" t="s">
        <v>1078</v>
      </c>
      <c r="L93" s="13">
        <v>1321.0384548769191</v>
      </c>
      <c r="M93" s="13">
        <v>5201.1587814272816</v>
      </c>
      <c r="N93" s="13">
        <v>5.0011594997049771E-5</v>
      </c>
      <c r="O93" s="13">
        <v>3089.7067911721761</v>
      </c>
      <c r="P93" s="13">
        <v>7</v>
      </c>
      <c r="Q93" t="s">
        <v>1079</v>
      </c>
      <c r="R93" t="s">
        <v>1184</v>
      </c>
    </row>
    <row r="94" spans="1:18">
      <c r="A94" t="s">
        <v>986</v>
      </c>
      <c r="B94" t="s">
        <v>834</v>
      </c>
      <c r="C94" t="s">
        <v>435</v>
      </c>
      <c r="D94" t="s">
        <v>893</v>
      </c>
      <c r="E94" t="s">
        <v>829</v>
      </c>
      <c r="F94" t="s">
        <v>830</v>
      </c>
      <c r="G94" t="s">
        <v>831</v>
      </c>
      <c r="H94">
        <v>56</v>
      </c>
      <c r="I94" t="s">
        <v>1078</v>
      </c>
      <c r="J94" t="s">
        <v>1078</v>
      </c>
      <c r="K94" t="s">
        <v>1078</v>
      </c>
      <c r="L94" s="13">
        <v>7351.0394456756012</v>
      </c>
      <c r="M94" s="13">
        <v>36976.205201440142</v>
      </c>
      <c r="N94" s="13">
        <v>0</v>
      </c>
      <c r="O94" s="13">
        <v>10924.737690928805</v>
      </c>
      <c r="P94" s="13">
        <v>0</v>
      </c>
      <c r="Q94" t="s">
        <v>1079</v>
      </c>
      <c r="R94" t="s">
        <v>1185</v>
      </c>
    </row>
    <row r="95" spans="1:18">
      <c r="A95" t="s">
        <v>987</v>
      </c>
      <c r="B95" t="s">
        <v>834</v>
      </c>
      <c r="C95" t="s">
        <v>435</v>
      </c>
      <c r="D95" t="s">
        <v>895</v>
      </c>
      <c r="E95" t="s">
        <v>829</v>
      </c>
      <c r="F95" t="s">
        <v>830</v>
      </c>
      <c r="G95" t="s">
        <v>831</v>
      </c>
      <c r="H95">
        <v>67</v>
      </c>
      <c r="I95" t="s">
        <v>1078</v>
      </c>
      <c r="J95" t="s">
        <v>1078</v>
      </c>
      <c r="K95" t="s">
        <v>1078</v>
      </c>
      <c r="L95" s="13">
        <v>1281.0179754346823</v>
      </c>
      <c r="M95" s="13">
        <v>5561.0820878183786</v>
      </c>
      <c r="N95" s="13">
        <v>5.0011594997049771E-5</v>
      </c>
      <c r="O95" s="13">
        <v>2833.2669932852586</v>
      </c>
      <c r="P95" s="13">
        <v>10</v>
      </c>
      <c r="Q95" t="s">
        <v>1079</v>
      </c>
      <c r="R95" t="s">
        <v>1186</v>
      </c>
    </row>
    <row r="96" spans="1:18">
      <c r="A96" t="s">
        <v>988</v>
      </c>
      <c r="B96" t="s">
        <v>835</v>
      </c>
      <c r="C96" t="s">
        <v>440</v>
      </c>
      <c r="D96" t="s">
        <v>893</v>
      </c>
      <c r="E96" t="s">
        <v>829</v>
      </c>
      <c r="F96" t="s">
        <v>830</v>
      </c>
      <c r="G96" t="s">
        <v>831</v>
      </c>
      <c r="H96">
        <v>55</v>
      </c>
      <c r="I96" t="s">
        <v>1078</v>
      </c>
      <c r="J96" t="s">
        <v>1078</v>
      </c>
      <c r="K96" t="s">
        <v>1078</v>
      </c>
      <c r="L96" s="13">
        <v>7351.0281036616152</v>
      </c>
      <c r="M96" s="13">
        <v>36076.142611133968</v>
      </c>
      <c r="N96" s="13">
        <v>0</v>
      </c>
      <c r="O96" s="13">
        <v>10948.289189741112</v>
      </c>
      <c r="P96" s="13">
        <v>70</v>
      </c>
      <c r="Q96" t="s">
        <v>1079</v>
      </c>
      <c r="R96" t="s">
        <v>1187</v>
      </c>
    </row>
    <row r="97" spans="1:18">
      <c r="A97" t="s">
        <v>989</v>
      </c>
      <c r="B97" t="s">
        <v>835</v>
      </c>
      <c r="C97" t="s">
        <v>440</v>
      </c>
      <c r="D97" t="s">
        <v>895</v>
      </c>
      <c r="E97" t="s">
        <v>829</v>
      </c>
      <c r="F97" t="s">
        <v>830</v>
      </c>
      <c r="G97" t="s">
        <v>831</v>
      </c>
      <c r="H97">
        <v>66</v>
      </c>
      <c r="I97" t="s">
        <v>1078</v>
      </c>
      <c r="J97" t="s">
        <v>1078</v>
      </c>
      <c r="K97" t="s">
        <v>1078</v>
      </c>
      <c r="L97" s="13">
        <v>1281.0783650498611</v>
      </c>
      <c r="M97" s="13">
        <v>5241.336969714398</v>
      </c>
      <c r="N97" s="13">
        <v>5.0011594997049771E-5</v>
      </c>
      <c r="O97" s="13">
        <v>3261.7144841420645</v>
      </c>
      <c r="P97" s="13">
        <v>26.000000000000227</v>
      </c>
      <c r="Q97" t="s">
        <v>1079</v>
      </c>
      <c r="R97" t="s">
        <v>1188</v>
      </c>
    </row>
    <row r="98" spans="1:18">
      <c r="A98" t="s">
        <v>990</v>
      </c>
      <c r="B98" t="s">
        <v>836</v>
      </c>
      <c r="C98" t="s">
        <v>443</v>
      </c>
      <c r="D98" t="s">
        <v>893</v>
      </c>
      <c r="E98" t="s">
        <v>829</v>
      </c>
      <c r="F98" t="s">
        <v>830</v>
      </c>
      <c r="G98" t="s">
        <v>831</v>
      </c>
      <c r="H98">
        <v>56</v>
      </c>
      <c r="I98" t="s">
        <v>1078</v>
      </c>
      <c r="J98" t="s">
        <v>1078</v>
      </c>
      <c r="K98" t="s">
        <v>1078</v>
      </c>
      <c r="L98" s="13">
        <v>7351.0394536297827</v>
      </c>
      <c r="M98" s="13">
        <v>36976.205242818767</v>
      </c>
      <c r="N98" s="13">
        <v>0</v>
      </c>
      <c r="O98" s="13">
        <v>10971.139900146065</v>
      </c>
      <c r="P98" s="13">
        <v>0</v>
      </c>
      <c r="Q98" t="s">
        <v>1079</v>
      </c>
      <c r="R98" t="s">
        <v>1189</v>
      </c>
    </row>
    <row r="99" spans="1:18">
      <c r="A99" t="s">
        <v>991</v>
      </c>
      <c r="B99" t="s">
        <v>836</v>
      </c>
      <c r="C99" t="s">
        <v>443</v>
      </c>
      <c r="D99" t="s">
        <v>895</v>
      </c>
      <c r="E99" t="s">
        <v>829</v>
      </c>
      <c r="F99" t="s">
        <v>830</v>
      </c>
      <c r="G99" t="s">
        <v>831</v>
      </c>
      <c r="H99">
        <v>66</v>
      </c>
      <c r="I99" t="s">
        <v>1078</v>
      </c>
      <c r="J99" t="s">
        <v>1078</v>
      </c>
      <c r="K99" t="s">
        <v>1078</v>
      </c>
      <c r="L99" s="13">
        <v>1281.0323927025202</v>
      </c>
      <c r="M99" s="13">
        <v>5561.1479266748411</v>
      </c>
      <c r="N99" s="13">
        <v>5.0011594997049771E-5</v>
      </c>
      <c r="O99" s="13">
        <v>2901.3767226445193</v>
      </c>
      <c r="P99" s="13">
        <v>20</v>
      </c>
      <c r="Q99" t="s">
        <v>1079</v>
      </c>
      <c r="R99" t="s">
        <v>1190</v>
      </c>
    </row>
    <row r="100" spans="1:18">
      <c r="A100" t="s">
        <v>992</v>
      </c>
      <c r="B100" t="s">
        <v>837</v>
      </c>
      <c r="C100" t="s">
        <v>446</v>
      </c>
      <c r="D100" t="s">
        <v>893</v>
      </c>
      <c r="E100" t="s">
        <v>829</v>
      </c>
      <c r="F100" t="s">
        <v>830</v>
      </c>
      <c r="G100" t="s">
        <v>831</v>
      </c>
      <c r="H100">
        <v>56</v>
      </c>
      <c r="I100" t="s">
        <v>1078</v>
      </c>
      <c r="J100" t="s">
        <v>1078</v>
      </c>
      <c r="K100" t="s">
        <v>1078</v>
      </c>
      <c r="L100" s="13">
        <v>7351.060158244537</v>
      </c>
      <c r="M100" s="13">
        <v>36976.312950867818</v>
      </c>
      <c r="N100" s="13">
        <v>0</v>
      </c>
      <c r="O100" s="13">
        <v>11295.59275247975</v>
      </c>
      <c r="P100" s="13">
        <v>0</v>
      </c>
      <c r="Q100" t="s">
        <v>1079</v>
      </c>
      <c r="R100" t="s">
        <v>1191</v>
      </c>
    </row>
    <row r="101" spans="1:18">
      <c r="A101" t="s">
        <v>993</v>
      </c>
      <c r="B101" t="s">
        <v>837</v>
      </c>
      <c r="C101" t="s">
        <v>446</v>
      </c>
      <c r="D101" t="s">
        <v>895</v>
      </c>
      <c r="E101" t="s">
        <v>829</v>
      </c>
      <c r="F101" t="s">
        <v>830</v>
      </c>
      <c r="G101" t="s">
        <v>831</v>
      </c>
      <c r="H101">
        <v>66</v>
      </c>
      <c r="I101" t="s">
        <v>1078</v>
      </c>
      <c r="J101" t="s">
        <v>1078</v>
      </c>
      <c r="K101" t="s">
        <v>1078</v>
      </c>
      <c r="L101" s="13">
        <v>1281.0251890006045</v>
      </c>
      <c r="M101" s="13">
        <v>5421.1120910526897</v>
      </c>
      <c r="N101" s="13">
        <v>5.0011594997049771E-5</v>
      </c>
      <c r="O101" s="13">
        <v>2901.4822741131275</v>
      </c>
      <c r="P101" s="13">
        <v>10</v>
      </c>
      <c r="Q101" t="s">
        <v>1079</v>
      </c>
      <c r="R101" t="s">
        <v>1192</v>
      </c>
    </row>
    <row r="102" spans="1:18">
      <c r="A102" t="s">
        <v>994</v>
      </c>
      <c r="B102" t="s">
        <v>838</v>
      </c>
      <c r="C102" t="s">
        <v>449</v>
      </c>
      <c r="D102" t="s">
        <v>893</v>
      </c>
      <c r="E102" t="s">
        <v>829</v>
      </c>
      <c r="F102" t="s">
        <v>830</v>
      </c>
      <c r="G102" t="s">
        <v>831</v>
      </c>
      <c r="H102">
        <v>56</v>
      </c>
      <c r="I102" t="s">
        <v>1078</v>
      </c>
      <c r="J102" t="s">
        <v>1078</v>
      </c>
      <c r="K102" t="s">
        <v>1078</v>
      </c>
      <c r="L102" s="13">
        <v>7351.0614987265926</v>
      </c>
      <c r="M102" s="13">
        <v>31951.276090027895</v>
      </c>
      <c r="N102" s="13">
        <v>0</v>
      </c>
      <c r="O102" s="13">
        <v>10762.701891498828</v>
      </c>
      <c r="P102" s="13">
        <v>0</v>
      </c>
      <c r="Q102" t="s">
        <v>1079</v>
      </c>
      <c r="R102" t="s">
        <v>1193</v>
      </c>
    </row>
    <row r="103" spans="1:18">
      <c r="A103" t="s">
        <v>995</v>
      </c>
      <c r="B103" t="s">
        <v>838</v>
      </c>
      <c r="C103" t="s">
        <v>449</v>
      </c>
      <c r="D103" t="s">
        <v>895</v>
      </c>
      <c r="E103" t="s">
        <v>829</v>
      </c>
      <c r="F103" t="s">
        <v>830</v>
      </c>
      <c r="G103" t="s">
        <v>831</v>
      </c>
      <c r="H103">
        <v>68</v>
      </c>
      <c r="I103" t="s">
        <v>1078</v>
      </c>
      <c r="J103" t="s">
        <v>1078</v>
      </c>
      <c r="K103" t="s">
        <v>1078</v>
      </c>
      <c r="L103" s="13">
        <v>1281.0272301245818</v>
      </c>
      <c r="M103" s="13">
        <v>4581.102112967179</v>
      </c>
      <c r="N103" s="13">
        <v>5.0011594997049771E-5</v>
      </c>
      <c r="O103" s="13">
        <v>2854.053535585389</v>
      </c>
      <c r="P103" s="13">
        <v>11.000000000000227</v>
      </c>
      <c r="Q103" t="s">
        <v>1079</v>
      </c>
      <c r="R103" t="s">
        <v>1194</v>
      </c>
    </row>
    <row r="104" spans="1:18">
      <c r="A104" t="s">
        <v>996</v>
      </c>
      <c r="B104" t="s">
        <v>839</v>
      </c>
      <c r="C104" t="s">
        <v>453</v>
      </c>
      <c r="D104" t="s">
        <v>893</v>
      </c>
      <c r="E104" t="s">
        <v>829</v>
      </c>
      <c r="F104" t="s">
        <v>830</v>
      </c>
      <c r="G104" t="s">
        <v>831</v>
      </c>
      <c r="H104">
        <v>56</v>
      </c>
      <c r="I104" t="s">
        <v>1078</v>
      </c>
      <c r="J104" t="s">
        <v>1078</v>
      </c>
      <c r="K104" t="s">
        <v>1078</v>
      </c>
      <c r="L104" s="13">
        <v>6601.0641310782466</v>
      </c>
      <c r="M104" s="13">
        <v>30151.303859156447</v>
      </c>
      <c r="N104" s="13">
        <v>3.3240805997704112E-2</v>
      </c>
      <c r="O104" s="13">
        <v>11939.723418137915</v>
      </c>
      <c r="P104" s="13">
        <v>19</v>
      </c>
      <c r="Q104" t="s">
        <v>1079</v>
      </c>
      <c r="R104" t="s">
        <v>1195</v>
      </c>
    </row>
    <row r="105" spans="1:18">
      <c r="A105" t="s">
        <v>997</v>
      </c>
      <c r="B105" t="s">
        <v>839</v>
      </c>
      <c r="C105" t="s">
        <v>453</v>
      </c>
      <c r="D105" t="s">
        <v>895</v>
      </c>
      <c r="E105" t="s">
        <v>829</v>
      </c>
      <c r="F105" t="s">
        <v>830</v>
      </c>
      <c r="G105" t="s">
        <v>831</v>
      </c>
      <c r="H105">
        <v>68</v>
      </c>
      <c r="I105" t="s">
        <v>1078</v>
      </c>
      <c r="J105" t="s">
        <v>1078</v>
      </c>
      <c r="K105" t="s">
        <v>1078</v>
      </c>
      <c r="L105" s="13">
        <v>1281.0127941240066</v>
      </c>
      <c r="M105" s="13">
        <v>4581.0479779650232</v>
      </c>
      <c r="N105" s="13">
        <v>5.0011594997049771E-5</v>
      </c>
      <c r="O105" s="13">
        <v>2800.2335730659684</v>
      </c>
      <c r="P105" s="13">
        <v>17</v>
      </c>
      <c r="Q105" t="s">
        <v>1079</v>
      </c>
      <c r="R105" t="s">
        <v>1196</v>
      </c>
    </row>
    <row r="106" spans="1:18">
      <c r="A106" t="s">
        <v>998</v>
      </c>
      <c r="B106" t="s">
        <v>840</v>
      </c>
      <c r="C106" t="s">
        <v>455</v>
      </c>
      <c r="D106" t="s">
        <v>893</v>
      </c>
      <c r="E106" t="s">
        <v>829</v>
      </c>
      <c r="F106" t="s">
        <v>830</v>
      </c>
      <c r="G106" t="s">
        <v>831</v>
      </c>
      <c r="H106">
        <v>56</v>
      </c>
      <c r="I106" t="s">
        <v>1078</v>
      </c>
      <c r="J106" t="s">
        <v>1078</v>
      </c>
      <c r="K106" t="s">
        <v>1078</v>
      </c>
      <c r="L106" s="13">
        <v>7351.0618851269701</v>
      </c>
      <c r="M106" s="13">
        <v>36076.314034101772</v>
      </c>
      <c r="N106" s="13">
        <v>0</v>
      </c>
      <c r="O106" s="13">
        <v>10856.119505372684</v>
      </c>
      <c r="P106" s="13">
        <v>0</v>
      </c>
      <c r="Q106" t="s">
        <v>1079</v>
      </c>
      <c r="R106" t="s">
        <v>1197</v>
      </c>
    </row>
    <row r="107" spans="1:18">
      <c r="A107" t="s">
        <v>999</v>
      </c>
      <c r="B107" t="s">
        <v>840</v>
      </c>
      <c r="C107" t="s">
        <v>455</v>
      </c>
      <c r="D107" t="s">
        <v>895</v>
      </c>
      <c r="E107" t="s">
        <v>829</v>
      </c>
      <c r="F107" t="s">
        <v>830</v>
      </c>
      <c r="G107" t="s">
        <v>831</v>
      </c>
      <c r="H107">
        <v>66</v>
      </c>
      <c r="I107" t="s">
        <v>1078</v>
      </c>
      <c r="J107" t="s">
        <v>1078</v>
      </c>
      <c r="K107" t="s">
        <v>1078</v>
      </c>
      <c r="L107" s="13">
        <v>1321.0259640880558</v>
      </c>
      <c r="M107" s="13">
        <v>5241.1080441083577</v>
      </c>
      <c r="N107" s="13">
        <v>5.0011594997049771E-5</v>
      </c>
      <c r="O107" s="13">
        <v>2967.1549442083488</v>
      </c>
      <c r="P107" s="13">
        <v>14</v>
      </c>
      <c r="Q107" t="s">
        <v>1079</v>
      </c>
      <c r="R107" t="s">
        <v>1198</v>
      </c>
    </row>
    <row r="108" spans="1:18">
      <c r="A108" t="s">
        <v>1000</v>
      </c>
      <c r="B108" t="s">
        <v>841</v>
      </c>
      <c r="C108" t="s">
        <v>458</v>
      </c>
      <c r="D108" t="s">
        <v>893</v>
      </c>
      <c r="E108" t="s">
        <v>790</v>
      </c>
      <c r="F108" t="s">
        <v>770</v>
      </c>
      <c r="G108" t="s">
        <v>772</v>
      </c>
      <c r="H108">
        <v>57</v>
      </c>
      <c r="I108" t="s">
        <v>1078</v>
      </c>
      <c r="J108" t="s">
        <v>1078</v>
      </c>
      <c r="K108" t="s">
        <v>1078</v>
      </c>
      <c r="L108" s="13">
        <v>4951.0240649740645</v>
      </c>
      <c r="M108" s="13">
        <v>17701.090049580365</v>
      </c>
      <c r="N108" s="13">
        <v>0</v>
      </c>
      <c r="O108" s="13">
        <v>9443.2326149002365</v>
      </c>
      <c r="P108" s="13">
        <v>0</v>
      </c>
      <c r="Q108" t="s">
        <v>1079</v>
      </c>
      <c r="R108" t="s">
        <v>1199</v>
      </c>
    </row>
    <row r="109" spans="1:18">
      <c r="A109" t="s">
        <v>1001</v>
      </c>
      <c r="B109" t="s">
        <v>841</v>
      </c>
      <c r="C109" t="s">
        <v>458</v>
      </c>
      <c r="D109" t="s">
        <v>895</v>
      </c>
      <c r="E109" t="s">
        <v>790</v>
      </c>
      <c r="F109" t="s">
        <v>770</v>
      </c>
      <c r="G109" t="s">
        <v>772</v>
      </c>
      <c r="H109">
        <v>77</v>
      </c>
      <c r="I109" t="s">
        <v>1078</v>
      </c>
      <c r="J109" t="s">
        <v>1078</v>
      </c>
      <c r="K109" t="s">
        <v>1078</v>
      </c>
      <c r="L109" s="13">
        <v>881.02093229972832</v>
      </c>
      <c r="M109" s="13">
        <v>2841.0722164340623</v>
      </c>
      <c r="N109" s="13">
        <v>4.878347663675247E-4</v>
      </c>
      <c r="O109" s="13">
        <v>2563.9940273850616</v>
      </c>
      <c r="P109" s="13">
        <v>31.984534255653443</v>
      </c>
      <c r="Q109" t="s">
        <v>1079</v>
      </c>
      <c r="R109" t="s">
        <v>1200</v>
      </c>
    </row>
    <row r="110" spans="1:18">
      <c r="A110" t="s">
        <v>1002</v>
      </c>
      <c r="B110" t="s">
        <v>842</v>
      </c>
      <c r="C110" t="s">
        <v>464</v>
      </c>
      <c r="D110" t="s">
        <v>893</v>
      </c>
      <c r="E110" t="s">
        <v>790</v>
      </c>
      <c r="F110" t="s">
        <v>770</v>
      </c>
      <c r="G110" t="s">
        <v>772</v>
      </c>
      <c r="H110">
        <v>56</v>
      </c>
      <c r="I110" t="s">
        <v>1078</v>
      </c>
      <c r="J110" t="s">
        <v>1078</v>
      </c>
      <c r="K110" t="s">
        <v>1078</v>
      </c>
      <c r="L110" s="13">
        <v>4951.0527323951856</v>
      </c>
      <c r="M110" s="13">
        <v>18008.700723310692</v>
      </c>
      <c r="N110" s="13">
        <v>0</v>
      </c>
      <c r="O110" s="13">
        <v>13929.50922969079</v>
      </c>
      <c r="P110" s="13">
        <v>0</v>
      </c>
      <c r="Q110" t="s">
        <v>1079</v>
      </c>
      <c r="R110" t="s">
        <v>1201</v>
      </c>
    </row>
    <row r="111" spans="1:18">
      <c r="A111" t="s">
        <v>1003</v>
      </c>
      <c r="B111" t="s">
        <v>842</v>
      </c>
      <c r="C111" t="s">
        <v>464</v>
      </c>
      <c r="D111" t="s">
        <v>895</v>
      </c>
      <c r="E111" t="s">
        <v>790</v>
      </c>
      <c r="F111" t="s">
        <v>770</v>
      </c>
      <c r="G111" t="s">
        <v>772</v>
      </c>
      <c r="H111">
        <v>73</v>
      </c>
      <c r="I111" t="s">
        <v>1078</v>
      </c>
      <c r="J111" t="s">
        <v>1078</v>
      </c>
      <c r="K111" t="s">
        <v>1078</v>
      </c>
      <c r="L111" s="13">
        <v>881.04603076969488</v>
      </c>
      <c r="M111" s="13">
        <v>3241.1818215402945</v>
      </c>
      <c r="N111" s="13">
        <v>1.4657944602476641E-3</v>
      </c>
      <c r="O111" s="13">
        <v>2897.1841180387319</v>
      </c>
      <c r="P111" s="13">
        <v>95.963175384244323</v>
      </c>
      <c r="Q111" t="s">
        <v>1079</v>
      </c>
      <c r="R111" t="s">
        <v>1202</v>
      </c>
    </row>
    <row r="112" spans="1:18">
      <c r="A112" t="s">
        <v>1004</v>
      </c>
      <c r="B112" t="s">
        <v>843</v>
      </c>
      <c r="C112" t="s">
        <v>474</v>
      </c>
      <c r="D112" t="s">
        <v>893</v>
      </c>
      <c r="E112" t="s">
        <v>790</v>
      </c>
      <c r="F112" t="s">
        <v>770</v>
      </c>
      <c r="G112" t="s">
        <v>772</v>
      </c>
      <c r="H112">
        <v>57</v>
      </c>
      <c r="I112" t="s">
        <v>1078</v>
      </c>
      <c r="J112" t="s">
        <v>1078</v>
      </c>
      <c r="K112" t="s">
        <v>1078</v>
      </c>
      <c r="L112" s="13">
        <v>4951.0244362683334</v>
      </c>
      <c r="M112" s="13">
        <v>17101.08828587268</v>
      </c>
      <c r="N112" s="13">
        <v>0</v>
      </c>
      <c r="O112" s="13">
        <v>9421.2997733965822</v>
      </c>
      <c r="P112" s="13">
        <v>0</v>
      </c>
      <c r="Q112" t="s">
        <v>1079</v>
      </c>
      <c r="R112" t="s">
        <v>1203</v>
      </c>
    </row>
    <row r="113" spans="1:18">
      <c r="A113" t="s">
        <v>1005</v>
      </c>
      <c r="B113" t="s">
        <v>843</v>
      </c>
      <c r="C113" t="s">
        <v>474</v>
      </c>
      <c r="D113" t="s">
        <v>895</v>
      </c>
      <c r="E113" t="s">
        <v>790</v>
      </c>
      <c r="F113" t="s">
        <v>770</v>
      </c>
      <c r="G113" t="s">
        <v>772</v>
      </c>
      <c r="H113">
        <v>78</v>
      </c>
      <c r="I113" t="s">
        <v>1078</v>
      </c>
      <c r="J113" t="s">
        <v>1078</v>
      </c>
      <c r="K113" t="s">
        <v>1078</v>
      </c>
      <c r="L113" s="13">
        <v>921.01655110163665</v>
      </c>
      <c r="M113" s="13">
        <v>2781.0531999695459</v>
      </c>
      <c r="N113" s="13">
        <v>3.2173613517408762E-4</v>
      </c>
      <c r="O113" s="13">
        <v>2498.0890653353181</v>
      </c>
      <c r="P113" s="13">
        <v>10</v>
      </c>
      <c r="Q113" t="s">
        <v>1079</v>
      </c>
      <c r="R113" t="s">
        <v>1204</v>
      </c>
    </row>
    <row r="114" spans="1:18">
      <c r="A114" t="s">
        <v>1006</v>
      </c>
      <c r="B114" t="s">
        <v>844</v>
      </c>
      <c r="C114" t="s">
        <v>481</v>
      </c>
      <c r="D114" t="s">
        <v>893</v>
      </c>
      <c r="E114" t="s">
        <v>798</v>
      </c>
      <c r="F114" t="s">
        <v>798</v>
      </c>
      <c r="G114" t="s">
        <v>772</v>
      </c>
      <c r="H114">
        <v>89</v>
      </c>
      <c r="I114" t="s">
        <v>1078</v>
      </c>
      <c r="J114" t="s">
        <v>1078</v>
      </c>
      <c r="K114" t="s">
        <v>1078</v>
      </c>
      <c r="L114" s="13">
        <v>1951.0772935859254</v>
      </c>
      <c r="M114" s="13">
        <v>2101.084320275555</v>
      </c>
      <c r="N114" s="13">
        <v>1.1093761249839049E-2</v>
      </c>
      <c r="O114" s="13">
        <v>2689.3896738770009</v>
      </c>
      <c r="P114" s="13">
        <v>337</v>
      </c>
      <c r="Q114" t="s">
        <v>1079</v>
      </c>
      <c r="R114" t="s">
        <v>1205</v>
      </c>
    </row>
    <row r="115" spans="1:18">
      <c r="A115" t="s">
        <v>1007</v>
      </c>
      <c r="B115" t="s">
        <v>844</v>
      </c>
      <c r="C115" t="s">
        <v>481</v>
      </c>
      <c r="D115" t="s">
        <v>895</v>
      </c>
      <c r="E115" t="s">
        <v>798</v>
      </c>
      <c r="F115" t="s">
        <v>798</v>
      </c>
      <c r="G115" t="s">
        <v>772</v>
      </c>
      <c r="H115">
        <v>80</v>
      </c>
      <c r="I115" t="s">
        <v>1078</v>
      </c>
      <c r="J115" t="s">
        <v>1078</v>
      </c>
      <c r="K115" t="s">
        <v>1078</v>
      </c>
      <c r="L115" s="13">
        <v>461.71584775099234</v>
      </c>
      <c r="M115" s="13">
        <v>583.05136035365126</v>
      </c>
      <c r="N115" s="13">
        <v>9.9435919062443763E-3</v>
      </c>
      <c r="O115" s="13">
        <v>726.97396128950072</v>
      </c>
      <c r="P115" s="13">
        <v>475.99999999999932</v>
      </c>
      <c r="Q115" t="s">
        <v>1079</v>
      </c>
      <c r="R115" t="s">
        <v>1206</v>
      </c>
    </row>
    <row r="116" spans="1:18">
      <c r="A116" t="s">
        <v>1008</v>
      </c>
      <c r="B116" t="s">
        <v>845</v>
      </c>
      <c r="C116" t="s">
        <v>485</v>
      </c>
      <c r="D116" t="s">
        <v>893</v>
      </c>
      <c r="E116" t="s">
        <v>798</v>
      </c>
      <c r="F116" t="s">
        <v>798</v>
      </c>
      <c r="G116" t="s">
        <v>772</v>
      </c>
      <c r="H116">
        <v>77</v>
      </c>
      <c r="I116" t="s">
        <v>1078</v>
      </c>
      <c r="J116" t="s">
        <v>1078</v>
      </c>
      <c r="K116" t="s">
        <v>1078</v>
      </c>
      <c r="L116" s="13">
        <v>1954.0589950918786</v>
      </c>
      <c r="M116" s="13">
        <v>2284.0697214722204</v>
      </c>
      <c r="N116" s="13">
        <v>1.303076718235063E-2</v>
      </c>
      <c r="O116" s="13">
        <v>2151.8957081163962</v>
      </c>
      <c r="P116" s="13">
        <v>825.00000000000136</v>
      </c>
      <c r="Q116" t="s">
        <v>1079</v>
      </c>
      <c r="R116" t="s">
        <v>1207</v>
      </c>
    </row>
    <row r="117" spans="1:18">
      <c r="A117" t="s">
        <v>1009</v>
      </c>
      <c r="B117" t="s">
        <v>845</v>
      </c>
      <c r="C117" t="s">
        <v>485</v>
      </c>
      <c r="D117" t="s">
        <v>895</v>
      </c>
      <c r="E117" t="s">
        <v>798</v>
      </c>
      <c r="F117" t="s">
        <v>798</v>
      </c>
      <c r="G117" t="s">
        <v>772</v>
      </c>
      <c r="H117">
        <v>88</v>
      </c>
      <c r="I117" t="s">
        <v>1078</v>
      </c>
      <c r="J117" t="s">
        <v>1078</v>
      </c>
      <c r="K117" t="s">
        <v>1078</v>
      </c>
      <c r="L117" s="13">
        <v>459.71479485215383</v>
      </c>
      <c r="M117" s="13">
        <v>741.0642682549161</v>
      </c>
      <c r="N117" s="13">
        <v>7.4129726080505989E-3</v>
      </c>
      <c r="O117" s="13">
        <v>735.22005788678189</v>
      </c>
      <c r="P117" s="13">
        <v>284</v>
      </c>
      <c r="Q117" t="s">
        <v>1079</v>
      </c>
      <c r="R117" t="s">
        <v>1208</v>
      </c>
    </row>
    <row r="118" spans="1:18">
      <c r="A118" t="s">
        <v>1010</v>
      </c>
      <c r="B118" t="s">
        <v>846</v>
      </c>
      <c r="C118" t="s">
        <v>491</v>
      </c>
      <c r="D118" t="s">
        <v>893</v>
      </c>
      <c r="E118" t="s">
        <v>798</v>
      </c>
      <c r="F118" t="s">
        <v>798</v>
      </c>
      <c r="G118" t="s">
        <v>772</v>
      </c>
      <c r="H118">
        <v>85</v>
      </c>
      <c r="I118" t="s">
        <v>1078</v>
      </c>
      <c r="J118" t="s">
        <v>1078</v>
      </c>
      <c r="K118" t="s">
        <v>1078</v>
      </c>
      <c r="L118" s="13">
        <v>1951.0520457136645</v>
      </c>
      <c r="M118" s="13">
        <v>2275.0615085706941</v>
      </c>
      <c r="N118" s="13">
        <v>1.303076718235063E-2</v>
      </c>
      <c r="O118" s="13">
        <v>2228.2541291699454</v>
      </c>
      <c r="P118" s="13">
        <v>482</v>
      </c>
      <c r="Q118" t="s">
        <v>1079</v>
      </c>
      <c r="R118" t="s">
        <v>1209</v>
      </c>
    </row>
    <row r="119" spans="1:18">
      <c r="A119" t="s">
        <v>1011</v>
      </c>
      <c r="B119" t="s">
        <v>846</v>
      </c>
      <c r="C119" t="s">
        <v>491</v>
      </c>
      <c r="D119" t="s">
        <v>895</v>
      </c>
      <c r="E119" t="s">
        <v>798</v>
      </c>
      <c r="F119" t="s">
        <v>798</v>
      </c>
      <c r="G119" t="s">
        <v>772</v>
      </c>
      <c r="H119">
        <v>85</v>
      </c>
      <c r="I119" t="s">
        <v>1078</v>
      </c>
      <c r="J119" t="s">
        <v>1078</v>
      </c>
      <c r="K119" t="s">
        <v>1078</v>
      </c>
      <c r="L119" s="13">
        <v>459.71773814606945</v>
      </c>
      <c r="M119" s="13">
        <v>595.05774877232545</v>
      </c>
      <c r="N119" s="13">
        <v>1.48259452161012E-2</v>
      </c>
      <c r="O119" s="13">
        <v>708.92653407984267</v>
      </c>
      <c r="P119" s="13">
        <v>345</v>
      </c>
      <c r="Q119" t="s">
        <v>1079</v>
      </c>
      <c r="R119" t="s">
        <v>1210</v>
      </c>
    </row>
    <row r="120" spans="1:18">
      <c r="A120" t="s">
        <v>1012</v>
      </c>
      <c r="B120" t="s">
        <v>847</v>
      </c>
      <c r="C120" t="s">
        <v>496</v>
      </c>
      <c r="D120" t="s">
        <v>893</v>
      </c>
      <c r="E120" t="s">
        <v>774</v>
      </c>
      <c r="F120" t="s">
        <v>770</v>
      </c>
      <c r="G120" t="s">
        <v>772</v>
      </c>
      <c r="H120">
        <v>59</v>
      </c>
      <c r="I120" t="s">
        <v>1078</v>
      </c>
      <c r="J120" t="s">
        <v>1078</v>
      </c>
      <c r="K120" t="s">
        <v>1078</v>
      </c>
      <c r="L120" s="13">
        <v>3640.0100874152999</v>
      </c>
      <c r="M120" s="13">
        <v>15451.046310406602</v>
      </c>
      <c r="N120" s="13">
        <v>0</v>
      </c>
      <c r="O120" s="13">
        <v>9013.8312382994427</v>
      </c>
      <c r="P120" s="13">
        <v>109.99999999999955</v>
      </c>
      <c r="Q120" t="s">
        <v>1079</v>
      </c>
      <c r="R120" t="s">
        <v>1211</v>
      </c>
    </row>
    <row r="121" spans="1:18">
      <c r="A121" t="s">
        <v>1013</v>
      </c>
      <c r="B121" t="s">
        <v>847</v>
      </c>
      <c r="C121" t="s">
        <v>496</v>
      </c>
      <c r="D121" t="s">
        <v>895</v>
      </c>
      <c r="E121" t="s">
        <v>774</v>
      </c>
      <c r="F121" t="s">
        <v>770</v>
      </c>
      <c r="G121" t="s">
        <v>772</v>
      </c>
      <c r="H121">
        <v>77</v>
      </c>
      <c r="I121" t="s">
        <v>1078</v>
      </c>
      <c r="J121" t="s">
        <v>1078</v>
      </c>
      <c r="K121" t="s">
        <v>1078</v>
      </c>
      <c r="L121" s="13">
        <v>806.01643924880034</v>
      </c>
      <c r="M121" s="13">
        <v>2801.0594224866636</v>
      </c>
      <c r="N121" s="13">
        <v>0</v>
      </c>
      <c r="O121" s="13">
        <v>2800.4534619570709</v>
      </c>
      <c r="P121" s="13">
        <v>17.999999999999886</v>
      </c>
      <c r="Q121" t="s">
        <v>1079</v>
      </c>
      <c r="R121" t="s">
        <v>1212</v>
      </c>
    </row>
    <row r="122" spans="1:18">
      <c r="A122" t="s">
        <v>1014</v>
      </c>
      <c r="B122" t="s">
        <v>848</v>
      </c>
      <c r="C122" t="s">
        <v>504</v>
      </c>
      <c r="D122" t="s">
        <v>893</v>
      </c>
      <c r="E122" t="s">
        <v>790</v>
      </c>
      <c r="F122" t="s">
        <v>770</v>
      </c>
      <c r="G122" t="s">
        <v>772</v>
      </c>
      <c r="H122">
        <v>57</v>
      </c>
      <c r="I122" t="s">
        <v>1078</v>
      </c>
      <c r="J122" t="s">
        <v>1078</v>
      </c>
      <c r="K122" t="s">
        <v>1078</v>
      </c>
      <c r="L122" s="13">
        <v>4951.0316889870755</v>
      </c>
      <c r="M122" s="13">
        <v>19576.13135596256</v>
      </c>
      <c r="N122" s="13">
        <v>0</v>
      </c>
      <c r="O122" s="13">
        <v>9434.6326366049743</v>
      </c>
      <c r="P122" s="13">
        <v>0</v>
      </c>
      <c r="Q122" t="s">
        <v>1079</v>
      </c>
      <c r="R122" t="s">
        <v>1213</v>
      </c>
    </row>
    <row r="123" spans="1:18">
      <c r="A123" t="s">
        <v>1015</v>
      </c>
      <c r="B123" t="s">
        <v>848</v>
      </c>
      <c r="C123" t="s">
        <v>504</v>
      </c>
      <c r="D123" t="s">
        <v>895</v>
      </c>
      <c r="E123" t="s">
        <v>790</v>
      </c>
      <c r="F123" t="s">
        <v>770</v>
      </c>
      <c r="G123" t="s">
        <v>772</v>
      </c>
      <c r="H123">
        <v>75</v>
      </c>
      <c r="I123" t="s">
        <v>1078</v>
      </c>
      <c r="J123" t="s">
        <v>1078</v>
      </c>
      <c r="K123" t="s">
        <v>1078</v>
      </c>
      <c r="L123" s="13">
        <v>881.02518351674587</v>
      </c>
      <c r="M123" s="13">
        <v>3241.0994748911462</v>
      </c>
      <c r="N123" s="13">
        <v>5.1353116756098867E-3</v>
      </c>
      <c r="O123" s="13">
        <v>2619.2219886774565</v>
      </c>
      <c r="P123" s="13">
        <v>14.982606986170595</v>
      </c>
      <c r="Q123" t="s">
        <v>1079</v>
      </c>
      <c r="R123" t="s">
        <v>1214</v>
      </c>
    </row>
    <row r="124" spans="1:18">
      <c r="A124" t="s">
        <v>1016</v>
      </c>
      <c r="B124" t="s">
        <v>849</v>
      </c>
      <c r="C124" t="s">
        <v>512</v>
      </c>
      <c r="D124" t="s">
        <v>893</v>
      </c>
      <c r="E124" t="s">
        <v>790</v>
      </c>
      <c r="F124" t="s">
        <v>770</v>
      </c>
      <c r="G124" t="s">
        <v>772</v>
      </c>
      <c r="H124">
        <v>57</v>
      </c>
      <c r="I124" t="s">
        <v>1078</v>
      </c>
      <c r="J124" t="s">
        <v>1078</v>
      </c>
      <c r="K124" t="s">
        <v>1078</v>
      </c>
      <c r="L124" s="13">
        <v>4951.025218036506</v>
      </c>
      <c r="M124" s="13">
        <v>26779.643580111075</v>
      </c>
      <c r="N124" s="13">
        <v>0</v>
      </c>
      <c r="O124" s="13">
        <v>10034.291622322715</v>
      </c>
      <c r="P124" s="13">
        <v>16</v>
      </c>
      <c r="Q124" t="s">
        <v>1079</v>
      </c>
      <c r="R124" t="s">
        <v>1215</v>
      </c>
    </row>
    <row r="125" spans="1:18">
      <c r="A125" t="s">
        <v>1017</v>
      </c>
      <c r="B125" t="s">
        <v>849</v>
      </c>
      <c r="C125" t="s">
        <v>512</v>
      </c>
      <c r="D125" t="s">
        <v>895</v>
      </c>
      <c r="E125" t="s">
        <v>790</v>
      </c>
      <c r="F125" t="s">
        <v>770</v>
      </c>
      <c r="G125" t="s">
        <v>772</v>
      </c>
      <c r="H125">
        <v>71</v>
      </c>
      <c r="I125" t="s">
        <v>1078</v>
      </c>
      <c r="J125" t="s">
        <v>1078</v>
      </c>
      <c r="K125" t="s">
        <v>1078</v>
      </c>
      <c r="L125" s="13">
        <v>881.01308131108703</v>
      </c>
      <c r="M125" s="13">
        <v>4241.0680228176516</v>
      </c>
      <c r="N125" s="13">
        <v>3.110676559870327E-4</v>
      </c>
      <c r="O125" s="13">
        <v>2866.5421835388206</v>
      </c>
      <c r="P125" s="13">
        <v>23.989534951130508</v>
      </c>
      <c r="Q125" t="s">
        <v>1079</v>
      </c>
      <c r="R125" t="s">
        <v>1216</v>
      </c>
    </row>
    <row r="126" spans="1:18">
      <c r="A126" t="s">
        <v>1018</v>
      </c>
      <c r="B126" t="s">
        <v>850</v>
      </c>
      <c r="C126" t="s">
        <v>517</v>
      </c>
      <c r="D126" t="s">
        <v>893</v>
      </c>
      <c r="E126" t="s">
        <v>790</v>
      </c>
      <c r="F126" t="s">
        <v>770</v>
      </c>
      <c r="G126" t="s">
        <v>772</v>
      </c>
      <c r="H126">
        <v>57</v>
      </c>
      <c r="I126" t="s">
        <v>1078</v>
      </c>
      <c r="J126" t="s">
        <v>1078</v>
      </c>
      <c r="K126" t="s">
        <v>1078</v>
      </c>
      <c r="L126" s="13">
        <v>4951.0243668619569</v>
      </c>
      <c r="M126" s="13">
        <v>20626.106506767581</v>
      </c>
      <c r="N126" s="13">
        <v>0</v>
      </c>
      <c r="O126" s="13">
        <v>9470.1277017484372</v>
      </c>
      <c r="P126" s="13">
        <v>3</v>
      </c>
      <c r="Q126" t="s">
        <v>1079</v>
      </c>
      <c r="R126" t="s">
        <v>1217</v>
      </c>
    </row>
    <row r="127" spans="1:18">
      <c r="A127" t="s">
        <v>1019</v>
      </c>
      <c r="B127" t="s">
        <v>850</v>
      </c>
      <c r="C127" t="s">
        <v>517</v>
      </c>
      <c r="D127" t="s">
        <v>895</v>
      </c>
      <c r="E127" t="s">
        <v>790</v>
      </c>
      <c r="F127" t="s">
        <v>770</v>
      </c>
      <c r="G127" t="s">
        <v>772</v>
      </c>
      <c r="H127">
        <v>74</v>
      </c>
      <c r="I127" t="s">
        <v>1078</v>
      </c>
      <c r="J127" t="s">
        <v>1078</v>
      </c>
      <c r="K127" t="s">
        <v>1078</v>
      </c>
      <c r="L127" s="13">
        <v>881.00755888466495</v>
      </c>
      <c r="M127" s="13">
        <v>3321.0306134828916</v>
      </c>
      <c r="N127" s="13">
        <v>6.6853651737622963E-2</v>
      </c>
      <c r="O127" s="13">
        <v>2633.0071837233404</v>
      </c>
      <c r="P127" s="13">
        <v>11.996369681584383</v>
      </c>
      <c r="Q127" t="s">
        <v>1079</v>
      </c>
      <c r="R127" t="s">
        <v>1218</v>
      </c>
    </row>
    <row r="128" spans="1:18">
      <c r="A128" t="s">
        <v>1020</v>
      </c>
      <c r="B128" t="s">
        <v>851</v>
      </c>
      <c r="C128" t="s">
        <v>526</v>
      </c>
      <c r="D128" t="s">
        <v>893</v>
      </c>
      <c r="E128" t="s">
        <v>790</v>
      </c>
      <c r="F128" t="s">
        <v>770</v>
      </c>
      <c r="G128" t="s">
        <v>772</v>
      </c>
      <c r="H128">
        <v>58</v>
      </c>
      <c r="I128" t="s">
        <v>1078</v>
      </c>
      <c r="J128" t="s">
        <v>1078</v>
      </c>
      <c r="K128" t="s">
        <v>1078</v>
      </c>
      <c r="L128" s="13">
        <v>4201.0211537421219</v>
      </c>
      <c r="M128" s="13">
        <v>24901.133431296454</v>
      </c>
      <c r="N128" s="13">
        <v>1.054463450037553E-2</v>
      </c>
      <c r="O128" s="13">
        <v>10014.281449929065</v>
      </c>
      <c r="P128" s="13">
        <v>18</v>
      </c>
      <c r="Q128" t="s">
        <v>1079</v>
      </c>
      <c r="R128" t="s">
        <v>1219</v>
      </c>
    </row>
    <row r="129" spans="1:18">
      <c r="A129" t="s">
        <v>1021</v>
      </c>
      <c r="B129" t="s">
        <v>851</v>
      </c>
      <c r="C129" t="s">
        <v>526</v>
      </c>
      <c r="D129" t="s">
        <v>895</v>
      </c>
      <c r="E129" t="s">
        <v>790</v>
      </c>
      <c r="F129" t="s">
        <v>770</v>
      </c>
      <c r="G129" t="s">
        <v>772</v>
      </c>
      <c r="H129">
        <v>71</v>
      </c>
      <c r="I129" t="s">
        <v>1078</v>
      </c>
      <c r="J129" t="s">
        <v>1078</v>
      </c>
      <c r="K129" t="s">
        <v>1078</v>
      </c>
      <c r="L129" s="13">
        <v>881.02076601218528</v>
      </c>
      <c r="M129" s="13">
        <v>4201.1069449627539</v>
      </c>
      <c r="N129" s="13">
        <v>4.6552041838688971E-3</v>
      </c>
      <c r="O129" s="13">
        <v>3017.2008529739742</v>
      </c>
      <c r="P129" s="13">
        <v>54.983387190251733</v>
      </c>
      <c r="Q129" t="s">
        <v>1079</v>
      </c>
      <c r="R129" t="s">
        <v>1220</v>
      </c>
    </row>
    <row r="130" spans="1:18">
      <c r="A130" t="s">
        <v>1022</v>
      </c>
      <c r="B130" t="s">
        <v>852</v>
      </c>
      <c r="C130" t="s">
        <v>531</v>
      </c>
      <c r="D130" t="s">
        <v>893</v>
      </c>
      <c r="E130" t="s">
        <v>790</v>
      </c>
      <c r="F130" t="s">
        <v>770</v>
      </c>
      <c r="G130" t="s">
        <v>772</v>
      </c>
      <c r="H130">
        <v>57</v>
      </c>
      <c r="I130" t="s">
        <v>1078</v>
      </c>
      <c r="J130" t="s">
        <v>1078</v>
      </c>
      <c r="K130" t="s">
        <v>1078</v>
      </c>
      <c r="L130" s="13">
        <v>4951.0375425647098</v>
      </c>
      <c r="M130" s="13">
        <v>23926.190740449729</v>
      </c>
      <c r="N130" s="13">
        <v>0</v>
      </c>
      <c r="O130" s="13">
        <v>9232.3481363709088</v>
      </c>
      <c r="P130" s="13">
        <v>0</v>
      </c>
      <c r="Q130" t="s">
        <v>1079</v>
      </c>
      <c r="R130" t="s">
        <v>1221</v>
      </c>
    </row>
    <row r="131" spans="1:18">
      <c r="A131" t="s">
        <v>1023</v>
      </c>
      <c r="B131" t="s">
        <v>852</v>
      </c>
      <c r="C131" t="s">
        <v>531</v>
      </c>
      <c r="D131" t="s">
        <v>895</v>
      </c>
      <c r="E131" t="s">
        <v>790</v>
      </c>
      <c r="F131" t="s">
        <v>770</v>
      </c>
      <c r="G131" t="s">
        <v>772</v>
      </c>
      <c r="H131">
        <v>70</v>
      </c>
      <c r="I131" t="s">
        <v>1078</v>
      </c>
      <c r="J131" t="s">
        <v>1078</v>
      </c>
      <c r="K131" t="s">
        <v>1078</v>
      </c>
      <c r="L131" s="13">
        <v>881.01554026809572</v>
      </c>
      <c r="M131" s="13">
        <v>4321.0823634209064</v>
      </c>
      <c r="N131" s="13">
        <v>1.2397460382267799E-3</v>
      </c>
      <c r="O131" s="13">
        <v>2920.0989365356754</v>
      </c>
      <c r="P131" s="13">
        <v>19.988045324282211</v>
      </c>
      <c r="Q131" t="s">
        <v>1079</v>
      </c>
      <c r="R131" t="s">
        <v>1222</v>
      </c>
    </row>
    <row r="132" spans="1:18">
      <c r="A132" t="s">
        <v>1024</v>
      </c>
      <c r="B132" t="s">
        <v>853</v>
      </c>
      <c r="C132" t="s">
        <v>537</v>
      </c>
      <c r="D132" t="s">
        <v>893</v>
      </c>
      <c r="E132" t="s">
        <v>790</v>
      </c>
      <c r="F132" t="s">
        <v>770</v>
      </c>
      <c r="G132" t="s">
        <v>772</v>
      </c>
      <c r="H132">
        <v>57</v>
      </c>
      <c r="I132" t="s">
        <v>1078</v>
      </c>
      <c r="J132" t="s">
        <v>1078</v>
      </c>
      <c r="K132" t="s">
        <v>1078</v>
      </c>
      <c r="L132" s="13">
        <v>4951.0249907063298</v>
      </c>
      <c r="M132" s="13">
        <v>27001.143495023422</v>
      </c>
      <c r="N132" s="13">
        <v>0</v>
      </c>
      <c r="O132" s="13">
        <v>9384.4858547432705</v>
      </c>
      <c r="P132" s="13">
        <v>0</v>
      </c>
      <c r="Q132" t="s">
        <v>1079</v>
      </c>
      <c r="R132" t="s">
        <v>1223</v>
      </c>
    </row>
    <row r="133" spans="1:18">
      <c r="A133" t="s">
        <v>1025</v>
      </c>
      <c r="B133" t="s">
        <v>853</v>
      </c>
      <c r="C133" t="s">
        <v>537</v>
      </c>
      <c r="D133" t="s">
        <v>895</v>
      </c>
      <c r="E133" t="s">
        <v>790</v>
      </c>
      <c r="F133" t="s">
        <v>770</v>
      </c>
      <c r="G133" t="s">
        <v>772</v>
      </c>
      <c r="H133">
        <v>71</v>
      </c>
      <c r="I133" t="s">
        <v>1078</v>
      </c>
      <c r="J133" t="s">
        <v>1078</v>
      </c>
      <c r="K133" t="s">
        <v>1078</v>
      </c>
      <c r="L133" s="13">
        <v>881.01543865333099</v>
      </c>
      <c r="M133" s="13">
        <v>4361.0825967953197</v>
      </c>
      <c r="N133" s="13">
        <v>1.232553857045177E-3</v>
      </c>
      <c r="O133" s="13">
        <v>2559.359377796121</v>
      </c>
      <c r="P133" s="13">
        <v>15.989260432365995</v>
      </c>
      <c r="Q133" t="s">
        <v>1079</v>
      </c>
      <c r="R133" t="s">
        <v>1224</v>
      </c>
    </row>
    <row r="134" spans="1:18">
      <c r="A134" t="s">
        <v>1026</v>
      </c>
      <c r="B134" t="s">
        <v>854</v>
      </c>
      <c r="C134" t="s">
        <v>548</v>
      </c>
      <c r="D134" t="s">
        <v>893</v>
      </c>
      <c r="E134" t="s">
        <v>790</v>
      </c>
      <c r="F134" t="s">
        <v>770</v>
      </c>
      <c r="G134" t="s">
        <v>772</v>
      </c>
      <c r="H134">
        <v>57</v>
      </c>
      <c r="I134" t="s">
        <v>1078</v>
      </c>
      <c r="J134" t="s">
        <v>1078</v>
      </c>
      <c r="K134" t="s">
        <v>1078</v>
      </c>
      <c r="L134" s="13">
        <v>4951.039902644784</v>
      </c>
      <c r="M134" s="13">
        <v>25510.716246591066</v>
      </c>
      <c r="N134" s="13">
        <v>0</v>
      </c>
      <c r="O134" s="13">
        <v>9789.4625032782023</v>
      </c>
      <c r="P134" s="13">
        <v>1</v>
      </c>
      <c r="Q134" t="s">
        <v>1079</v>
      </c>
      <c r="R134" t="s">
        <v>1225</v>
      </c>
    </row>
    <row r="135" spans="1:18">
      <c r="A135" t="s">
        <v>1027</v>
      </c>
      <c r="B135" t="s">
        <v>854</v>
      </c>
      <c r="C135" t="s">
        <v>548</v>
      </c>
      <c r="D135" t="s">
        <v>895</v>
      </c>
      <c r="E135" t="s">
        <v>790</v>
      </c>
      <c r="F135" t="s">
        <v>770</v>
      </c>
      <c r="G135" t="s">
        <v>772</v>
      </c>
      <c r="H135">
        <v>70</v>
      </c>
      <c r="I135" t="s">
        <v>1078</v>
      </c>
      <c r="J135" t="s">
        <v>1078</v>
      </c>
      <c r="K135" t="s">
        <v>1078</v>
      </c>
      <c r="L135" s="13">
        <v>881.01274507302321</v>
      </c>
      <c r="M135" s="13">
        <v>4641.072646916231</v>
      </c>
      <c r="N135" s="13">
        <v>5.009877012448282E-4</v>
      </c>
      <c r="O135" s="13">
        <v>2899.7662405773572</v>
      </c>
      <c r="P135" s="13">
        <v>39.989803941581044</v>
      </c>
      <c r="Q135" t="s">
        <v>1079</v>
      </c>
      <c r="R135" t="s">
        <v>1226</v>
      </c>
    </row>
    <row r="136" spans="1:18">
      <c r="A136" t="s">
        <v>1028</v>
      </c>
      <c r="B136" t="s">
        <v>855</v>
      </c>
      <c r="C136" t="s">
        <v>555</v>
      </c>
      <c r="D136" t="s">
        <v>893</v>
      </c>
      <c r="E136" t="s">
        <v>790</v>
      </c>
      <c r="F136" t="s">
        <v>770</v>
      </c>
      <c r="G136" t="s">
        <v>772</v>
      </c>
      <c r="H136">
        <v>57</v>
      </c>
      <c r="I136" t="s">
        <v>1078</v>
      </c>
      <c r="J136" t="s">
        <v>1078</v>
      </c>
      <c r="K136" t="s">
        <v>1078</v>
      </c>
      <c r="L136" s="13">
        <v>4951.0149628170657</v>
      </c>
      <c r="M136" s="13">
        <v>22879.072642063486</v>
      </c>
      <c r="N136" s="13">
        <v>0</v>
      </c>
      <c r="O136" s="13">
        <v>9815.3172109686202</v>
      </c>
      <c r="P136" s="13">
        <v>20</v>
      </c>
      <c r="Q136" t="s">
        <v>1079</v>
      </c>
      <c r="R136" t="s">
        <v>1227</v>
      </c>
    </row>
    <row r="137" spans="1:18">
      <c r="A137" t="s">
        <v>1029</v>
      </c>
      <c r="B137" t="s">
        <v>855</v>
      </c>
      <c r="C137" t="s">
        <v>555</v>
      </c>
      <c r="D137" t="s">
        <v>895</v>
      </c>
      <c r="E137" t="s">
        <v>790</v>
      </c>
      <c r="F137" t="s">
        <v>770</v>
      </c>
      <c r="G137" t="s">
        <v>772</v>
      </c>
      <c r="H137">
        <v>71</v>
      </c>
      <c r="I137" t="s">
        <v>1078</v>
      </c>
      <c r="J137" t="s">
        <v>1078</v>
      </c>
      <c r="K137" t="s">
        <v>1078</v>
      </c>
      <c r="L137" s="13">
        <v>881.65526741910617</v>
      </c>
      <c r="M137" s="13">
        <v>4164.3418638374415</v>
      </c>
      <c r="N137" s="13">
        <v>5.009877012448282E-4</v>
      </c>
      <c r="O137" s="13">
        <v>2868.2382911910399</v>
      </c>
      <c r="P137" s="13">
        <v>27.47673692079843</v>
      </c>
      <c r="Q137" t="s">
        <v>1079</v>
      </c>
      <c r="R137" t="s">
        <v>1228</v>
      </c>
    </row>
    <row r="138" spans="1:18">
      <c r="A138" t="s">
        <v>1030</v>
      </c>
      <c r="B138" t="s">
        <v>856</v>
      </c>
      <c r="C138" t="s">
        <v>561</v>
      </c>
      <c r="D138" t="s">
        <v>893</v>
      </c>
      <c r="E138" t="s">
        <v>790</v>
      </c>
      <c r="F138" t="s">
        <v>770</v>
      </c>
      <c r="G138" t="s">
        <v>772</v>
      </c>
      <c r="H138">
        <v>57</v>
      </c>
      <c r="I138" t="s">
        <v>1078</v>
      </c>
      <c r="J138" t="s">
        <v>1078</v>
      </c>
      <c r="K138" t="s">
        <v>1078</v>
      </c>
      <c r="L138" s="13">
        <v>4951.0207430034661</v>
      </c>
      <c r="M138" s="13">
        <v>21526.094681773873</v>
      </c>
      <c r="N138" s="13">
        <v>0</v>
      </c>
      <c r="O138" s="13">
        <v>9043.150499033738</v>
      </c>
      <c r="P138" s="13">
        <v>0</v>
      </c>
      <c r="Q138" t="s">
        <v>1079</v>
      </c>
      <c r="R138" t="s">
        <v>1229</v>
      </c>
    </row>
    <row r="139" spans="1:18">
      <c r="A139" t="s">
        <v>1031</v>
      </c>
      <c r="B139" t="s">
        <v>856</v>
      </c>
      <c r="C139" t="s">
        <v>561</v>
      </c>
      <c r="D139" t="s">
        <v>895</v>
      </c>
      <c r="E139" t="s">
        <v>790</v>
      </c>
      <c r="F139" t="s">
        <v>770</v>
      </c>
      <c r="G139" t="s">
        <v>772</v>
      </c>
      <c r="H139">
        <v>74</v>
      </c>
      <c r="I139" t="s">
        <v>1078</v>
      </c>
      <c r="J139" t="s">
        <v>1078</v>
      </c>
      <c r="K139" t="s">
        <v>1078</v>
      </c>
      <c r="L139" s="13">
        <v>881.01586090046544</v>
      </c>
      <c r="M139" s="13">
        <v>3601.0697879620502</v>
      </c>
      <c r="N139" s="13">
        <v>1.2397460382267799E-3</v>
      </c>
      <c r="O139" s="13">
        <v>2401.1670772004272</v>
      </c>
      <c r="P139" s="13">
        <v>0</v>
      </c>
      <c r="Q139" t="s">
        <v>1079</v>
      </c>
      <c r="R139" t="s">
        <v>1230</v>
      </c>
    </row>
    <row r="140" spans="1:18">
      <c r="A140" t="s">
        <v>1032</v>
      </c>
      <c r="B140" t="s">
        <v>857</v>
      </c>
      <c r="C140" t="s">
        <v>567</v>
      </c>
      <c r="D140" t="s">
        <v>893</v>
      </c>
      <c r="E140" t="s">
        <v>790</v>
      </c>
      <c r="F140" t="s">
        <v>770</v>
      </c>
      <c r="G140" t="s">
        <v>772</v>
      </c>
      <c r="H140">
        <v>57</v>
      </c>
      <c r="I140" t="s">
        <v>1078</v>
      </c>
      <c r="J140" t="s">
        <v>1078</v>
      </c>
      <c r="K140" t="s">
        <v>1078</v>
      </c>
      <c r="L140" s="13">
        <v>4951.0177390958643</v>
      </c>
      <c r="M140" s="13">
        <v>22355.084117648134</v>
      </c>
      <c r="N140" s="13">
        <v>0</v>
      </c>
      <c r="O140" s="13">
        <v>9905.0751188688228</v>
      </c>
      <c r="P140" s="13">
        <v>26</v>
      </c>
      <c r="Q140" t="s">
        <v>1079</v>
      </c>
      <c r="R140" t="s">
        <v>1231</v>
      </c>
    </row>
    <row r="141" spans="1:18">
      <c r="A141" t="s">
        <v>1033</v>
      </c>
      <c r="B141" t="s">
        <v>857</v>
      </c>
      <c r="C141" t="s">
        <v>567</v>
      </c>
      <c r="D141" t="s">
        <v>895</v>
      </c>
      <c r="E141" t="s">
        <v>790</v>
      </c>
      <c r="F141" t="s">
        <v>770</v>
      </c>
      <c r="G141" t="s">
        <v>772</v>
      </c>
      <c r="H141">
        <v>71</v>
      </c>
      <c r="I141" t="s">
        <v>1078</v>
      </c>
      <c r="J141" t="s">
        <v>1078</v>
      </c>
      <c r="K141" t="s">
        <v>1078</v>
      </c>
      <c r="L141" s="13">
        <v>881.02179280586461</v>
      </c>
      <c r="M141" s="13">
        <v>4081.1089640293221</v>
      </c>
      <c r="N141" s="13">
        <v>5.009877012448282E-4</v>
      </c>
      <c r="O141" s="13">
        <v>3012.4326531274651</v>
      </c>
      <c r="P141" s="13">
        <v>40.982565755308428</v>
      </c>
      <c r="Q141" t="s">
        <v>1079</v>
      </c>
      <c r="R141" t="s">
        <v>1232</v>
      </c>
    </row>
    <row r="142" spans="1:18">
      <c r="A142" t="s">
        <v>1034</v>
      </c>
      <c r="B142" t="s">
        <v>858</v>
      </c>
      <c r="C142" t="s">
        <v>573</v>
      </c>
      <c r="D142" t="s">
        <v>893</v>
      </c>
      <c r="E142" t="s">
        <v>790</v>
      </c>
      <c r="F142" t="s">
        <v>770</v>
      </c>
      <c r="G142" t="s">
        <v>772</v>
      </c>
      <c r="H142">
        <v>50</v>
      </c>
      <c r="I142" t="s">
        <v>1078</v>
      </c>
      <c r="J142" t="s">
        <v>1078</v>
      </c>
      <c r="K142" t="s">
        <v>1078</v>
      </c>
      <c r="L142" s="13">
        <v>3490.0215145168527</v>
      </c>
      <c r="M142" s="13">
        <v>19801.133185104336</v>
      </c>
      <c r="N142" s="13">
        <v>0.18884300815967781</v>
      </c>
      <c r="O142" s="13">
        <v>10144.141371653148</v>
      </c>
      <c r="P142" s="13">
        <v>102.00000000000045</v>
      </c>
      <c r="Q142" t="s">
        <v>1079</v>
      </c>
      <c r="R142" t="s">
        <v>1233</v>
      </c>
    </row>
    <row r="143" spans="1:18">
      <c r="A143" t="s">
        <v>1035</v>
      </c>
      <c r="B143" t="s">
        <v>858</v>
      </c>
      <c r="C143" t="s">
        <v>573</v>
      </c>
      <c r="D143" t="s">
        <v>895</v>
      </c>
      <c r="E143" t="s">
        <v>790</v>
      </c>
      <c r="F143" t="s">
        <v>770</v>
      </c>
      <c r="G143" t="s">
        <v>772</v>
      </c>
      <c r="H143">
        <v>72</v>
      </c>
      <c r="I143" t="s">
        <v>1078</v>
      </c>
      <c r="J143" t="s">
        <v>1078</v>
      </c>
      <c r="K143" t="s">
        <v>1078</v>
      </c>
      <c r="L143" s="13">
        <v>881.01700527226035</v>
      </c>
      <c r="M143" s="13">
        <v>3401.0705718798822</v>
      </c>
      <c r="N143" s="13">
        <v>1.241493793766637E-3</v>
      </c>
      <c r="O143" s="13">
        <v>3169.0330130075777</v>
      </c>
      <c r="P143" s="13">
        <v>77.986395782191948</v>
      </c>
      <c r="Q143" t="s">
        <v>1079</v>
      </c>
      <c r="R143" t="s">
        <v>1234</v>
      </c>
    </row>
    <row r="144" spans="1:18">
      <c r="A144" t="s">
        <v>1036</v>
      </c>
      <c r="B144" t="s">
        <v>859</v>
      </c>
      <c r="C144" t="s">
        <v>579</v>
      </c>
      <c r="D144" t="s">
        <v>893</v>
      </c>
      <c r="E144" t="s">
        <v>790</v>
      </c>
      <c r="F144" t="s">
        <v>770</v>
      </c>
      <c r="G144" t="s">
        <v>772</v>
      </c>
      <c r="H144">
        <v>57</v>
      </c>
      <c r="I144" t="s">
        <v>1078</v>
      </c>
      <c r="J144" t="s">
        <v>1078</v>
      </c>
      <c r="K144" t="s">
        <v>1078</v>
      </c>
      <c r="L144" s="13">
        <v>4951.0187507725459</v>
      </c>
      <c r="M144" s="13">
        <v>20401.081051726476</v>
      </c>
      <c r="N144" s="13">
        <v>0</v>
      </c>
      <c r="O144" s="13">
        <v>9342.7770253721737</v>
      </c>
      <c r="P144" s="13">
        <v>0</v>
      </c>
      <c r="Q144" t="s">
        <v>1079</v>
      </c>
      <c r="R144" t="s">
        <v>1235</v>
      </c>
    </row>
    <row r="145" spans="1:18">
      <c r="A145" t="s">
        <v>1037</v>
      </c>
      <c r="B145" t="s">
        <v>859</v>
      </c>
      <c r="C145" t="s">
        <v>579</v>
      </c>
      <c r="D145" t="s">
        <v>895</v>
      </c>
      <c r="E145" t="s">
        <v>790</v>
      </c>
      <c r="F145" t="s">
        <v>770</v>
      </c>
      <c r="G145" t="s">
        <v>772</v>
      </c>
      <c r="H145">
        <v>73</v>
      </c>
      <c r="I145" t="s">
        <v>1078</v>
      </c>
      <c r="J145" t="s">
        <v>1078</v>
      </c>
      <c r="K145" t="s">
        <v>1078</v>
      </c>
      <c r="L145" s="13">
        <v>881.0118056734641</v>
      </c>
      <c r="M145" s="13">
        <v>3441.0495838285515</v>
      </c>
      <c r="N145" s="13">
        <v>3.478465538683865E-4</v>
      </c>
      <c r="O145" s="13">
        <v>2808.7428609009435</v>
      </c>
      <c r="P145" s="13">
        <v>78.991503150193239</v>
      </c>
      <c r="Q145" t="s">
        <v>1079</v>
      </c>
      <c r="R145" t="s">
        <v>1236</v>
      </c>
    </row>
    <row r="146" spans="1:18">
      <c r="A146" t="s">
        <v>1038</v>
      </c>
      <c r="B146" t="s">
        <v>860</v>
      </c>
      <c r="C146" t="s">
        <v>586</v>
      </c>
      <c r="D146" t="s">
        <v>893</v>
      </c>
      <c r="E146" t="s">
        <v>790</v>
      </c>
      <c r="F146" t="s">
        <v>770</v>
      </c>
      <c r="G146" t="s">
        <v>772</v>
      </c>
      <c r="H146">
        <v>57</v>
      </c>
      <c r="I146" t="s">
        <v>1078</v>
      </c>
      <c r="J146" t="s">
        <v>1078</v>
      </c>
      <c r="K146" t="s">
        <v>1078</v>
      </c>
      <c r="L146" s="13">
        <v>4951.0204560354114</v>
      </c>
      <c r="M146" s="13">
        <v>22201.09634132807</v>
      </c>
      <c r="N146" s="13">
        <v>0</v>
      </c>
      <c r="O146" s="13">
        <v>9541.1330805432081</v>
      </c>
      <c r="P146" s="13">
        <v>0</v>
      </c>
      <c r="Q146" t="s">
        <v>1079</v>
      </c>
      <c r="R146" t="s">
        <v>1237</v>
      </c>
    </row>
    <row r="147" spans="1:18">
      <c r="A147" t="s">
        <v>1039</v>
      </c>
      <c r="B147" t="s">
        <v>860</v>
      </c>
      <c r="C147" t="s">
        <v>586</v>
      </c>
      <c r="D147" t="s">
        <v>895</v>
      </c>
      <c r="E147" t="s">
        <v>790</v>
      </c>
      <c r="F147" t="s">
        <v>770</v>
      </c>
      <c r="G147" t="s">
        <v>772</v>
      </c>
      <c r="H147">
        <v>73</v>
      </c>
      <c r="I147" t="s">
        <v>1078</v>
      </c>
      <c r="J147" t="s">
        <v>1078</v>
      </c>
      <c r="K147" t="s">
        <v>1078</v>
      </c>
      <c r="L147" s="13">
        <v>881.02588318157905</v>
      </c>
      <c r="M147" s="13">
        <v>3641.1151801580272</v>
      </c>
      <c r="N147" s="13">
        <v>3.467405523158208E-4</v>
      </c>
      <c r="O147" s="13">
        <v>2762.3594765663593</v>
      </c>
      <c r="P147" s="13">
        <v>41.97943949269586</v>
      </c>
      <c r="Q147" t="s">
        <v>1079</v>
      </c>
      <c r="R147" t="s">
        <v>1238</v>
      </c>
    </row>
    <row r="148" spans="1:18">
      <c r="A148" t="s">
        <v>1040</v>
      </c>
      <c r="B148" t="s">
        <v>861</v>
      </c>
      <c r="C148" t="s">
        <v>593</v>
      </c>
      <c r="D148" t="s">
        <v>893</v>
      </c>
      <c r="E148" t="s">
        <v>790</v>
      </c>
      <c r="F148" t="s">
        <v>770</v>
      </c>
      <c r="G148" t="s">
        <v>772</v>
      </c>
      <c r="H148">
        <v>57</v>
      </c>
      <c r="I148" t="s">
        <v>1078</v>
      </c>
      <c r="J148" t="s">
        <v>1078</v>
      </c>
      <c r="K148" t="s">
        <v>1078</v>
      </c>
      <c r="L148" s="13">
        <v>4951.0172329616253</v>
      </c>
      <c r="M148" s="13">
        <v>22651.082829396215</v>
      </c>
      <c r="N148" s="13">
        <v>0</v>
      </c>
      <c r="O148" s="13">
        <v>9609.4894647753717</v>
      </c>
      <c r="P148" s="13">
        <v>15</v>
      </c>
      <c r="Q148" t="s">
        <v>1079</v>
      </c>
      <c r="R148" t="s">
        <v>1239</v>
      </c>
    </row>
    <row r="149" spans="1:18">
      <c r="A149" t="s">
        <v>1041</v>
      </c>
      <c r="B149" t="s">
        <v>861</v>
      </c>
      <c r="C149" t="s">
        <v>593</v>
      </c>
      <c r="D149" t="s">
        <v>895</v>
      </c>
      <c r="E149" t="s">
        <v>790</v>
      </c>
      <c r="F149" t="s">
        <v>770</v>
      </c>
      <c r="G149" t="s">
        <v>772</v>
      </c>
      <c r="H149">
        <v>73</v>
      </c>
      <c r="I149" t="s">
        <v>1078</v>
      </c>
      <c r="J149" t="s">
        <v>1078</v>
      </c>
      <c r="K149" t="s">
        <v>1078</v>
      </c>
      <c r="L149" s="13">
        <v>881.01600948392286</v>
      </c>
      <c r="M149" s="13">
        <v>3641.0712422034585</v>
      </c>
      <c r="N149" s="13">
        <v>3.8357018763600251E-4</v>
      </c>
      <c r="O149" s="13">
        <v>2830.7744384790485</v>
      </c>
      <c r="P149" s="13">
        <v>32.989605852594877</v>
      </c>
      <c r="Q149" t="s">
        <v>1079</v>
      </c>
      <c r="R149" t="s">
        <v>1240</v>
      </c>
    </row>
    <row r="150" spans="1:18">
      <c r="A150" t="s">
        <v>1042</v>
      </c>
      <c r="B150" t="s">
        <v>862</v>
      </c>
      <c r="C150" t="s">
        <v>598</v>
      </c>
      <c r="D150" t="s">
        <v>893</v>
      </c>
      <c r="E150" t="s">
        <v>790</v>
      </c>
      <c r="F150" t="s">
        <v>770</v>
      </c>
      <c r="G150" t="s">
        <v>772</v>
      </c>
      <c r="H150">
        <v>57</v>
      </c>
      <c r="I150" t="s">
        <v>1078</v>
      </c>
      <c r="J150" t="s">
        <v>1078</v>
      </c>
      <c r="K150" t="s">
        <v>1078</v>
      </c>
      <c r="L150" s="13">
        <v>4951.0304311414793</v>
      </c>
      <c r="M150" s="13">
        <v>20476.132031888032</v>
      </c>
      <c r="N150" s="13">
        <v>0</v>
      </c>
      <c r="O150" s="13">
        <v>9287.6022601972109</v>
      </c>
      <c r="P150" s="13">
        <v>24</v>
      </c>
      <c r="Q150" t="s">
        <v>1079</v>
      </c>
      <c r="R150" t="s">
        <v>1241</v>
      </c>
    </row>
    <row r="151" spans="1:18">
      <c r="A151" t="s">
        <v>1043</v>
      </c>
      <c r="B151" t="s">
        <v>862</v>
      </c>
      <c r="C151" t="s">
        <v>598</v>
      </c>
      <c r="D151" t="s">
        <v>895</v>
      </c>
      <c r="E151" t="s">
        <v>790</v>
      </c>
      <c r="F151" t="s">
        <v>770</v>
      </c>
      <c r="G151" t="s">
        <v>772</v>
      </c>
      <c r="H151">
        <v>74</v>
      </c>
      <c r="I151" t="s">
        <v>1078</v>
      </c>
      <c r="J151" t="s">
        <v>1078</v>
      </c>
      <c r="K151" t="s">
        <v>1078</v>
      </c>
      <c r="L151" s="13">
        <v>921.02214550213239</v>
      </c>
      <c r="M151" s="13">
        <v>3241.0833092699263</v>
      </c>
      <c r="N151" s="13">
        <v>2.1176545152739091E-3</v>
      </c>
      <c r="O151" s="13">
        <v>2760.1779678946946</v>
      </c>
      <c r="P151" s="13">
        <v>10</v>
      </c>
      <c r="Q151" t="s">
        <v>1079</v>
      </c>
      <c r="R151" t="s">
        <v>1242</v>
      </c>
    </row>
    <row r="152" spans="1:18">
      <c r="A152" t="s">
        <v>1044</v>
      </c>
      <c r="B152" t="s">
        <v>863</v>
      </c>
      <c r="C152" t="s">
        <v>605</v>
      </c>
      <c r="D152" t="s">
        <v>893</v>
      </c>
      <c r="E152" t="s">
        <v>790</v>
      </c>
      <c r="F152" t="s">
        <v>770</v>
      </c>
      <c r="G152" t="s">
        <v>772</v>
      </c>
      <c r="H152">
        <v>58</v>
      </c>
      <c r="I152" t="s">
        <v>1078</v>
      </c>
      <c r="J152" t="s">
        <v>1078</v>
      </c>
      <c r="K152" t="s">
        <v>1078</v>
      </c>
      <c r="L152" s="13">
        <v>4201.0270041105687</v>
      </c>
      <c r="M152" s="13">
        <v>21226.144887439397</v>
      </c>
      <c r="N152" s="13">
        <v>1.45348816375206E-3</v>
      </c>
      <c r="O152" s="13">
        <v>10601.898461887396</v>
      </c>
      <c r="P152" s="13">
        <v>24</v>
      </c>
      <c r="Q152" t="s">
        <v>1079</v>
      </c>
      <c r="R152" t="s">
        <v>1243</v>
      </c>
    </row>
    <row r="153" spans="1:18">
      <c r="A153" t="s">
        <v>1045</v>
      </c>
      <c r="B153" t="s">
        <v>863</v>
      </c>
      <c r="C153" t="s">
        <v>605</v>
      </c>
      <c r="D153" t="s">
        <v>895</v>
      </c>
      <c r="E153" t="s">
        <v>790</v>
      </c>
      <c r="F153" t="s">
        <v>770</v>
      </c>
      <c r="G153" t="s">
        <v>772</v>
      </c>
      <c r="H153">
        <v>71</v>
      </c>
      <c r="I153" t="s">
        <v>1078</v>
      </c>
      <c r="J153" t="s">
        <v>1078</v>
      </c>
      <c r="K153" t="s">
        <v>1078</v>
      </c>
      <c r="L153" s="13">
        <v>881.01141152232026</v>
      </c>
      <c r="M153" s="13">
        <v>4281.0599104921803</v>
      </c>
      <c r="N153" s="13">
        <v>5.0308078847770678E-4</v>
      </c>
      <c r="O153" s="13">
        <v>2859.244949969378</v>
      </c>
      <c r="P153" s="13">
        <v>53.992150763886684</v>
      </c>
      <c r="Q153" t="s">
        <v>1079</v>
      </c>
      <c r="R153" t="s">
        <v>1244</v>
      </c>
    </row>
    <row r="154" spans="1:18">
      <c r="A154" t="s">
        <v>1046</v>
      </c>
      <c r="B154" t="s">
        <v>864</v>
      </c>
      <c r="C154" t="s">
        <v>611</v>
      </c>
      <c r="D154" t="s">
        <v>893</v>
      </c>
      <c r="E154" t="s">
        <v>790</v>
      </c>
      <c r="F154" t="s">
        <v>770</v>
      </c>
      <c r="G154" t="s">
        <v>772</v>
      </c>
      <c r="H154">
        <v>57</v>
      </c>
      <c r="I154" t="s">
        <v>1078</v>
      </c>
      <c r="J154" t="s">
        <v>1078</v>
      </c>
      <c r="K154" t="s">
        <v>1078</v>
      </c>
      <c r="L154" s="13">
        <v>4951.0333748065395</v>
      </c>
      <c r="M154" s="13">
        <v>21914.155031359409</v>
      </c>
      <c r="N154" s="13">
        <v>0</v>
      </c>
      <c r="O154" s="13">
        <v>9831.4640803030743</v>
      </c>
      <c r="P154" s="13">
        <v>3</v>
      </c>
      <c r="Q154" t="s">
        <v>1079</v>
      </c>
      <c r="R154" t="s">
        <v>1245</v>
      </c>
    </row>
    <row r="155" spans="1:18">
      <c r="A155" t="s">
        <v>1047</v>
      </c>
      <c r="B155" t="s">
        <v>864</v>
      </c>
      <c r="C155" t="s">
        <v>611</v>
      </c>
      <c r="D155" t="s">
        <v>895</v>
      </c>
      <c r="E155" t="s">
        <v>790</v>
      </c>
      <c r="F155" t="s">
        <v>770</v>
      </c>
      <c r="G155" t="s">
        <v>772</v>
      </c>
      <c r="H155">
        <v>72</v>
      </c>
      <c r="I155" t="s">
        <v>1078</v>
      </c>
      <c r="J155" t="s">
        <v>1078</v>
      </c>
      <c r="K155" t="s">
        <v>1078</v>
      </c>
      <c r="L155" s="13">
        <v>841.01611256659953</v>
      </c>
      <c r="M155" s="13">
        <v>3721.0771707137137</v>
      </c>
      <c r="N155" s="13">
        <v>1.4782211036109241E-2</v>
      </c>
      <c r="O155" s="13">
        <v>2977.4595817174563</v>
      </c>
      <c r="P155" s="13">
        <v>38.000000000000114</v>
      </c>
      <c r="Q155" t="s">
        <v>1079</v>
      </c>
      <c r="R155" t="s">
        <v>1246</v>
      </c>
    </row>
    <row r="156" spans="1:18">
      <c r="A156" t="s">
        <v>1048</v>
      </c>
      <c r="B156" t="s">
        <v>865</v>
      </c>
      <c r="C156" t="s">
        <v>617</v>
      </c>
      <c r="D156" t="s">
        <v>893</v>
      </c>
      <c r="E156" t="s">
        <v>790</v>
      </c>
      <c r="F156" t="s">
        <v>770</v>
      </c>
      <c r="G156" t="s">
        <v>772</v>
      </c>
      <c r="H156">
        <v>59</v>
      </c>
      <c r="I156" t="s">
        <v>1078</v>
      </c>
      <c r="J156" t="s">
        <v>1078</v>
      </c>
      <c r="K156" t="s">
        <v>1078</v>
      </c>
      <c r="L156" s="13">
        <v>3901.0145836820147</v>
      </c>
      <c r="M156" s="13">
        <v>21601.086286785248</v>
      </c>
      <c r="N156" s="13">
        <v>6.302559279390791E-3</v>
      </c>
      <c r="O156" s="13">
        <v>9649.0998492026138</v>
      </c>
      <c r="P156" s="13">
        <v>46</v>
      </c>
      <c r="Q156" t="s">
        <v>1079</v>
      </c>
      <c r="R156" t="s">
        <v>1247</v>
      </c>
    </row>
    <row r="157" spans="1:18">
      <c r="A157" t="s">
        <v>1049</v>
      </c>
      <c r="B157" t="s">
        <v>865</v>
      </c>
      <c r="C157" t="s">
        <v>617</v>
      </c>
      <c r="D157" t="s">
        <v>895</v>
      </c>
      <c r="E157" t="s">
        <v>790</v>
      </c>
      <c r="F157" t="s">
        <v>770</v>
      </c>
      <c r="G157" t="s">
        <v>772</v>
      </c>
      <c r="H157">
        <v>74</v>
      </c>
      <c r="I157" t="s">
        <v>1078</v>
      </c>
      <c r="J157" t="s">
        <v>1078</v>
      </c>
      <c r="K157" t="s">
        <v>1078</v>
      </c>
      <c r="L157" s="13">
        <v>881.01276277025136</v>
      </c>
      <c r="M157" s="13">
        <v>3561.0555180505953</v>
      </c>
      <c r="N157" s="13">
        <v>5.007104733713506E-4</v>
      </c>
      <c r="O157" s="13">
        <v>2677.8796757689274</v>
      </c>
      <c r="P157" s="13">
        <v>7</v>
      </c>
      <c r="Q157" t="s">
        <v>1079</v>
      </c>
      <c r="R157" t="s">
        <v>1248</v>
      </c>
    </row>
    <row r="158" spans="1:18">
      <c r="A158" t="s">
        <v>1050</v>
      </c>
      <c r="B158" t="s">
        <v>866</v>
      </c>
      <c r="C158" t="s">
        <v>623</v>
      </c>
      <c r="D158" t="s">
        <v>893</v>
      </c>
      <c r="E158" t="s">
        <v>790</v>
      </c>
      <c r="F158" t="s">
        <v>770</v>
      </c>
      <c r="G158" t="s">
        <v>772</v>
      </c>
      <c r="H158">
        <v>57</v>
      </c>
      <c r="I158" t="s">
        <v>1078</v>
      </c>
      <c r="J158" t="s">
        <v>1078</v>
      </c>
      <c r="K158" t="s">
        <v>1078</v>
      </c>
      <c r="L158" s="13">
        <v>4951.0180372782861</v>
      </c>
      <c r="M158" s="13">
        <v>24151.092513782205</v>
      </c>
      <c r="N158" s="13">
        <v>0</v>
      </c>
      <c r="O158" s="13">
        <v>9268.8885228467861</v>
      </c>
      <c r="P158" s="13">
        <v>0</v>
      </c>
      <c r="Q158" t="s">
        <v>1079</v>
      </c>
      <c r="R158" t="s">
        <v>1249</v>
      </c>
    </row>
    <row r="159" spans="1:18">
      <c r="A159" t="s">
        <v>1051</v>
      </c>
      <c r="B159" t="s">
        <v>866</v>
      </c>
      <c r="C159" t="s">
        <v>623</v>
      </c>
      <c r="D159" t="s">
        <v>895</v>
      </c>
      <c r="E159" t="s">
        <v>790</v>
      </c>
      <c r="F159" t="s">
        <v>770</v>
      </c>
      <c r="G159" t="s">
        <v>772</v>
      </c>
      <c r="H159">
        <v>72</v>
      </c>
      <c r="I159" t="s">
        <v>1078</v>
      </c>
      <c r="J159" t="s">
        <v>1078</v>
      </c>
      <c r="K159" t="s">
        <v>1078</v>
      </c>
      <c r="L159" s="13">
        <v>881.02109222212232</v>
      </c>
      <c r="M159" s="13">
        <v>3801.0980788328707</v>
      </c>
      <c r="N159" s="13">
        <v>2.7921111042466351E-3</v>
      </c>
      <c r="O159" s="13">
        <v>2750.2303275977119</v>
      </c>
      <c r="P159" s="13">
        <v>20.983269330371172</v>
      </c>
      <c r="Q159" t="s">
        <v>1079</v>
      </c>
      <c r="R159" t="s">
        <v>1250</v>
      </c>
    </row>
    <row r="160" spans="1:18">
      <c r="A160" t="s">
        <v>1052</v>
      </c>
      <c r="B160" t="s">
        <v>867</v>
      </c>
      <c r="C160" t="s">
        <v>629</v>
      </c>
      <c r="D160" t="s">
        <v>893</v>
      </c>
      <c r="E160" t="s">
        <v>790</v>
      </c>
      <c r="F160" t="s">
        <v>770</v>
      </c>
      <c r="G160" t="s">
        <v>772</v>
      </c>
      <c r="H160">
        <v>57</v>
      </c>
      <c r="I160" t="s">
        <v>1078</v>
      </c>
      <c r="J160" t="s">
        <v>1078</v>
      </c>
      <c r="K160" t="s">
        <v>1078</v>
      </c>
      <c r="L160" s="13">
        <v>4951.0303057417241</v>
      </c>
      <c r="M160" s="13">
        <v>20479.131487814891</v>
      </c>
      <c r="N160" s="13">
        <v>0</v>
      </c>
      <c r="O160" s="13">
        <v>9929.640052088198</v>
      </c>
      <c r="P160" s="13">
        <v>31</v>
      </c>
      <c r="Q160" t="s">
        <v>1079</v>
      </c>
      <c r="R160" t="s">
        <v>1251</v>
      </c>
    </row>
    <row r="161" spans="1:18">
      <c r="A161" t="s">
        <v>1053</v>
      </c>
      <c r="B161" t="s">
        <v>867</v>
      </c>
      <c r="C161" t="s">
        <v>629</v>
      </c>
      <c r="D161" t="s">
        <v>895</v>
      </c>
      <c r="E161" t="s">
        <v>790</v>
      </c>
      <c r="F161" t="s">
        <v>770</v>
      </c>
      <c r="G161" t="s">
        <v>772</v>
      </c>
      <c r="H161">
        <v>72</v>
      </c>
      <c r="I161" t="s">
        <v>1078</v>
      </c>
      <c r="J161" t="s">
        <v>1078</v>
      </c>
      <c r="K161" t="s">
        <v>1078</v>
      </c>
      <c r="L161" s="13">
        <v>921.01979749040572</v>
      </c>
      <c r="M161" s="13">
        <v>3701.0853177562731</v>
      </c>
      <c r="N161" s="13">
        <v>5.007104733713506E-4</v>
      </c>
      <c r="O161" s="13">
        <v>2886.2288233418926</v>
      </c>
      <c r="P161" s="13">
        <v>0</v>
      </c>
      <c r="Q161" t="s">
        <v>1079</v>
      </c>
      <c r="R161" t="s">
        <v>1252</v>
      </c>
    </row>
    <row r="162" spans="1:18">
      <c r="A162" t="s">
        <v>1054</v>
      </c>
      <c r="B162" t="s">
        <v>868</v>
      </c>
      <c r="C162" t="s">
        <v>635</v>
      </c>
      <c r="D162" t="s">
        <v>893</v>
      </c>
      <c r="E162" t="s">
        <v>798</v>
      </c>
      <c r="F162" t="s">
        <v>798</v>
      </c>
      <c r="G162" t="s">
        <v>772</v>
      </c>
      <c r="H162">
        <v>58</v>
      </c>
      <c r="I162" t="s">
        <v>1078</v>
      </c>
      <c r="J162" t="s">
        <v>1078</v>
      </c>
      <c r="K162" t="s">
        <v>1078</v>
      </c>
      <c r="L162" s="13">
        <v>4543.5494480518464</v>
      </c>
      <c r="M162" s="13">
        <v>9364.4496864251778</v>
      </c>
      <c r="N162" s="13">
        <v>0</v>
      </c>
      <c r="O162" s="13">
        <v>5082.6100396622824</v>
      </c>
      <c r="P162" s="13">
        <v>256</v>
      </c>
      <c r="Q162" t="s">
        <v>1079</v>
      </c>
      <c r="R162" t="s">
        <v>1253</v>
      </c>
    </row>
    <row r="163" spans="1:18">
      <c r="A163" t="s">
        <v>1055</v>
      </c>
      <c r="B163" t="s">
        <v>868</v>
      </c>
      <c r="C163" t="s">
        <v>635</v>
      </c>
      <c r="D163" t="s">
        <v>895</v>
      </c>
      <c r="E163" t="s">
        <v>798</v>
      </c>
      <c r="F163" t="s">
        <v>798</v>
      </c>
      <c r="G163" t="s">
        <v>772</v>
      </c>
      <c r="H163">
        <v>83</v>
      </c>
      <c r="I163" t="s">
        <v>1078</v>
      </c>
      <c r="J163" t="s">
        <v>1078</v>
      </c>
      <c r="K163" t="s">
        <v>1078</v>
      </c>
      <c r="L163" s="13">
        <v>452.70355806253883</v>
      </c>
      <c r="M163" s="13">
        <v>696.00613804186946</v>
      </c>
      <c r="N163" s="13">
        <v>0</v>
      </c>
      <c r="O163" s="13">
        <v>492.90493087749508</v>
      </c>
      <c r="P163" s="13">
        <v>375.5</v>
      </c>
      <c r="Q163" t="s">
        <v>1079</v>
      </c>
      <c r="R163" t="s">
        <v>1254</v>
      </c>
    </row>
    <row r="164" spans="1:18">
      <c r="A164" t="s">
        <v>1056</v>
      </c>
      <c r="B164" t="s">
        <v>869</v>
      </c>
      <c r="C164" t="s">
        <v>641</v>
      </c>
      <c r="D164" t="s">
        <v>893</v>
      </c>
      <c r="E164" t="s">
        <v>790</v>
      </c>
      <c r="F164" t="s">
        <v>770</v>
      </c>
      <c r="G164" t="s">
        <v>772</v>
      </c>
      <c r="H164">
        <v>52</v>
      </c>
      <c r="I164" t="s">
        <v>1078</v>
      </c>
      <c r="J164" t="s">
        <v>1078</v>
      </c>
      <c r="K164" t="s">
        <v>1078</v>
      </c>
      <c r="L164" s="13">
        <v>4951.0300258419193</v>
      </c>
      <c r="M164" s="13">
        <v>25599.163204979421</v>
      </c>
      <c r="N164" s="13">
        <v>0</v>
      </c>
      <c r="O164" s="13">
        <v>10346.197863090489</v>
      </c>
      <c r="P164" s="13">
        <v>242</v>
      </c>
      <c r="Q164" t="s">
        <v>1079</v>
      </c>
      <c r="R164" t="s">
        <v>1255</v>
      </c>
    </row>
    <row r="165" spans="1:18">
      <c r="A165" t="s">
        <v>1057</v>
      </c>
      <c r="B165" t="s">
        <v>869</v>
      </c>
      <c r="C165" t="s">
        <v>641</v>
      </c>
      <c r="D165" t="s">
        <v>895</v>
      </c>
      <c r="E165" t="s">
        <v>790</v>
      </c>
      <c r="F165" t="s">
        <v>770</v>
      </c>
      <c r="G165" t="s">
        <v>772</v>
      </c>
      <c r="H165">
        <v>71</v>
      </c>
      <c r="I165" t="s">
        <v>1078</v>
      </c>
      <c r="J165" t="s">
        <v>1078</v>
      </c>
      <c r="K165" t="s">
        <v>1078</v>
      </c>
      <c r="L165" s="13">
        <v>881.01181205051046</v>
      </c>
      <c r="M165" s="13">
        <v>4481.0649662778069</v>
      </c>
      <c r="N165" s="13">
        <v>2.774797829959741E-3</v>
      </c>
      <c r="O165" s="13">
        <v>2709.4339809767575</v>
      </c>
      <c r="P165" s="13">
        <v>15.9907009186403</v>
      </c>
      <c r="Q165" t="s">
        <v>1079</v>
      </c>
      <c r="R165" t="s">
        <v>1256</v>
      </c>
    </row>
    <row r="166" spans="1:18">
      <c r="A166" t="s">
        <v>1058</v>
      </c>
      <c r="B166" t="s">
        <v>870</v>
      </c>
      <c r="C166" t="s">
        <v>647</v>
      </c>
      <c r="D166" t="s">
        <v>893</v>
      </c>
      <c r="E166" t="s">
        <v>798</v>
      </c>
      <c r="F166" t="s">
        <v>798</v>
      </c>
      <c r="G166" t="s">
        <v>772</v>
      </c>
      <c r="H166">
        <v>84</v>
      </c>
      <c r="I166" t="s">
        <v>1078</v>
      </c>
      <c r="J166" t="s">
        <v>1078</v>
      </c>
      <c r="K166" t="s">
        <v>1078</v>
      </c>
      <c r="L166" s="13">
        <v>1814.651963553928</v>
      </c>
      <c r="M166" s="13">
        <v>2804.7955890661783</v>
      </c>
      <c r="N166" s="13">
        <v>0</v>
      </c>
      <c r="O166" s="13">
        <v>1814.651963553928</v>
      </c>
      <c r="P166" s="13">
        <v>445.5</v>
      </c>
      <c r="Q166" t="s">
        <v>1079</v>
      </c>
      <c r="R166" t="s">
        <v>1257</v>
      </c>
    </row>
    <row r="167" spans="1:18">
      <c r="A167" t="s">
        <v>1059</v>
      </c>
      <c r="B167" t="s">
        <v>870</v>
      </c>
      <c r="C167" t="s">
        <v>647</v>
      </c>
      <c r="D167" t="s">
        <v>895</v>
      </c>
      <c r="E167" t="s">
        <v>798</v>
      </c>
      <c r="F167" t="s">
        <v>798</v>
      </c>
      <c r="G167" t="s">
        <v>772</v>
      </c>
      <c r="H167">
        <v>87</v>
      </c>
      <c r="I167" t="s">
        <v>1078</v>
      </c>
      <c r="J167" t="s">
        <v>1078</v>
      </c>
      <c r="K167" t="s">
        <v>1078</v>
      </c>
      <c r="L167" s="13">
        <v>421.47094717055018</v>
      </c>
      <c r="M167" s="13">
        <v>687.77385666789053</v>
      </c>
      <c r="N167" s="13">
        <v>0</v>
      </c>
      <c r="O167" s="13">
        <v>508.70466244402019</v>
      </c>
      <c r="P167" s="13">
        <v>308</v>
      </c>
      <c r="Q167" t="s">
        <v>1079</v>
      </c>
      <c r="R167" t="s">
        <v>1258</v>
      </c>
    </row>
    <row r="168" spans="1:18">
      <c r="A168" t="s">
        <v>1060</v>
      </c>
      <c r="B168" t="s">
        <v>871</v>
      </c>
      <c r="C168" t="s">
        <v>651</v>
      </c>
      <c r="D168" t="s">
        <v>893</v>
      </c>
      <c r="E168" t="s">
        <v>872</v>
      </c>
      <c r="F168" t="s">
        <v>770</v>
      </c>
      <c r="G168" t="s">
        <v>780</v>
      </c>
      <c r="H168">
        <v>56</v>
      </c>
      <c r="I168" t="s">
        <v>1078</v>
      </c>
      <c r="J168" t="s">
        <v>1078</v>
      </c>
      <c r="K168" t="s">
        <v>1078</v>
      </c>
      <c r="L168" s="13">
        <v>7351.0371921994738</v>
      </c>
      <c r="M168" s="13">
        <v>18532.096145792257</v>
      </c>
      <c r="N168" s="13">
        <v>0</v>
      </c>
      <c r="O168" s="13">
        <v>10493.175652755865</v>
      </c>
      <c r="P168" s="13">
        <v>2</v>
      </c>
      <c r="Q168" t="s">
        <v>1079</v>
      </c>
      <c r="R168" t="s">
        <v>1259</v>
      </c>
    </row>
    <row r="169" spans="1:18">
      <c r="A169" t="s">
        <v>1061</v>
      </c>
      <c r="B169" t="s">
        <v>871</v>
      </c>
      <c r="C169" t="s">
        <v>651</v>
      </c>
      <c r="D169" t="s">
        <v>895</v>
      </c>
      <c r="E169" t="s">
        <v>872</v>
      </c>
      <c r="F169" t="s">
        <v>770</v>
      </c>
      <c r="G169" t="s">
        <v>780</v>
      </c>
      <c r="H169">
        <v>74</v>
      </c>
      <c r="I169" t="s">
        <v>1078</v>
      </c>
      <c r="J169" t="s">
        <v>1078</v>
      </c>
      <c r="K169" t="s">
        <v>1078</v>
      </c>
      <c r="L169" s="13">
        <v>1281.0324179026823</v>
      </c>
      <c r="M169" s="13">
        <v>2841.0745611761681</v>
      </c>
      <c r="N169" s="13">
        <v>4.3996021550577911E-3</v>
      </c>
      <c r="O169" s="13">
        <v>2973.1974573245498</v>
      </c>
      <c r="P169" s="13">
        <v>2.2737367544323206E-13</v>
      </c>
      <c r="Q169" t="s">
        <v>1079</v>
      </c>
      <c r="R169" t="s">
        <v>1260</v>
      </c>
    </row>
    <row r="170" spans="1:18">
      <c r="A170" t="s">
        <v>1062</v>
      </c>
      <c r="B170" t="s">
        <v>873</v>
      </c>
      <c r="C170" t="s">
        <v>655</v>
      </c>
      <c r="D170" t="s">
        <v>893</v>
      </c>
      <c r="E170" t="s">
        <v>872</v>
      </c>
      <c r="F170" t="s">
        <v>770</v>
      </c>
      <c r="G170" t="s">
        <v>780</v>
      </c>
      <c r="H170">
        <v>54</v>
      </c>
      <c r="I170" t="s">
        <v>1078</v>
      </c>
      <c r="J170" t="s">
        <v>1078</v>
      </c>
      <c r="K170" t="s">
        <v>1078</v>
      </c>
      <c r="L170" s="13">
        <v>6601.0349833895034</v>
      </c>
      <c r="M170" s="13">
        <v>16351.089124349448</v>
      </c>
      <c r="N170" s="13">
        <v>1.1478553674142699E-3</v>
      </c>
      <c r="O170" s="13">
        <v>13421.355841134442</v>
      </c>
      <c r="P170" s="13">
        <v>137</v>
      </c>
      <c r="Q170" t="s">
        <v>1079</v>
      </c>
      <c r="R170" t="s">
        <v>1261</v>
      </c>
    </row>
    <row r="171" spans="1:18">
      <c r="A171" t="s">
        <v>1063</v>
      </c>
      <c r="B171" t="s">
        <v>873</v>
      </c>
      <c r="C171" t="s">
        <v>655</v>
      </c>
      <c r="D171" t="s">
        <v>895</v>
      </c>
      <c r="E171" t="s">
        <v>872</v>
      </c>
      <c r="F171" t="s">
        <v>770</v>
      </c>
      <c r="G171" t="s">
        <v>780</v>
      </c>
      <c r="H171">
        <v>75</v>
      </c>
      <c r="I171" t="s">
        <v>1078</v>
      </c>
      <c r="J171" t="s">
        <v>1078</v>
      </c>
      <c r="K171" t="s">
        <v>1078</v>
      </c>
      <c r="L171" s="13">
        <v>1281.0239652360647</v>
      </c>
      <c r="M171" s="13">
        <v>2721.0527235193422</v>
      </c>
      <c r="N171" s="13">
        <v>8.2993321610000414E-4</v>
      </c>
      <c r="O171" s="13">
        <v>2932.2475323969147</v>
      </c>
      <c r="P171" s="13">
        <v>15</v>
      </c>
      <c r="Q171" t="s">
        <v>1079</v>
      </c>
      <c r="R171" t="s">
        <v>1262</v>
      </c>
    </row>
    <row r="172" spans="1:18">
      <c r="A172" t="s">
        <v>1064</v>
      </c>
      <c r="B172" t="s">
        <v>874</v>
      </c>
      <c r="C172" t="s">
        <v>658</v>
      </c>
      <c r="D172" t="s">
        <v>893</v>
      </c>
      <c r="E172" t="s">
        <v>872</v>
      </c>
      <c r="F172" t="s">
        <v>770</v>
      </c>
      <c r="G172" t="s">
        <v>780</v>
      </c>
      <c r="H172">
        <v>56</v>
      </c>
      <c r="I172" t="s">
        <v>1078</v>
      </c>
      <c r="J172" t="s">
        <v>1078</v>
      </c>
      <c r="K172" t="s">
        <v>1078</v>
      </c>
      <c r="L172" s="13">
        <v>7351.0388397314018</v>
      </c>
      <c r="M172" s="13">
        <v>18532.100404837558</v>
      </c>
      <c r="N172" s="13">
        <v>0</v>
      </c>
      <c r="O172" s="13">
        <v>10476.115759503264</v>
      </c>
      <c r="P172" s="13">
        <v>0</v>
      </c>
      <c r="Q172" t="s">
        <v>1079</v>
      </c>
      <c r="R172" t="s">
        <v>1263</v>
      </c>
    </row>
    <row r="173" spans="1:18">
      <c r="A173" t="s">
        <v>1065</v>
      </c>
      <c r="B173" t="s">
        <v>874</v>
      </c>
      <c r="C173" t="s">
        <v>658</v>
      </c>
      <c r="D173" t="s">
        <v>895</v>
      </c>
      <c r="E173" t="s">
        <v>872</v>
      </c>
      <c r="F173" t="s">
        <v>770</v>
      </c>
      <c r="G173" t="s">
        <v>780</v>
      </c>
      <c r="H173">
        <v>75</v>
      </c>
      <c r="I173" t="s">
        <v>1078</v>
      </c>
      <c r="J173" t="s">
        <v>1078</v>
      </c>
      <c r="K173" t="s">
        <v>1078</v>
      </c>
      <c r="L173" s="13">
        <v>1281.0244581269026</v>
      </c>
      <c r="M173" s="13">
        <v>2681.0529926082895</v>
      </c>
      <c r="N173" s="13">
        <v>8.2993321610000414E-4</v>
      </c>
      <c r="O173" s="13">
        <v>2937.3928590675168</v>
      </c>
      <c r="P173" s="13">
        <v>9</v>
      </c>
      <c r="Q173" t="s">
        <v>1079</v>
      </c>
      <c r="R173" t="s">
        <v>1264</v>
      </c>
    </row>
    <row r="174" spans="1:18">
      <c r="A174" t="s">
        <v>1066</v>
      </c>
      <c r="B174" t="s">
        <v>875</v>
      </c>
      <c r="C174" t="s">
        <v>664</v>
      </c>
      <c r="D174" t="s">
        <v>893</v>
      </c>
      <c r="E174" t="s">
        <v>829</v>
      </c>
      <c r="F174" t="s">
        <v>830</v>
      </c>
      <c r="G174" t="s">
        <v>831</v>
      </c>
      <c r="H174">
        <v>47</v>
      </c>
      <c r="I174" t="s">
        <v>1078</v>
      </c>
      <c r="J174" t="s">
        <v>1078</v>
      </c>
      <c r="K174" t="s">
        <v>1078</v>
      </c>
      <c r="L174" s="13">
        <v>6301.0239495708283</v>
      </c>
      <c r="M174" s="13">
        <v>15901.062268884152</v>
      </c>
      <c r="N174" s="13">
        <v>0.18953298544724939</v>
      </c>
      <c r="O174" s="13">
        <v>11694.150629325961</v>
      </c>
      <c r="P174" s="13">
        <v>25</v>
      </c>
      <c r="Q174" t="s">
        <v>1079</v>
      </c>
      <c r="R174" t="s">
        <v>1265</v>
      </c>
    </row>
    <row r="175" spans="1:18">
      <c r="A175" t="s">
        <v>1067</v>
      </c>
      <c r="B175" t="s">
        <v>875</v>
      </c>
      <c r="C175" t="s">
        <v>664</v>
      </c>
      <c r="D175" t="s">
        <v>895</v>
      </c>
      <c r="E175" t="s">
        <v>829</v>
      </c>
      <c r="F175" t="s">
        <v>830</v>
      </c>
      <c r="G175" t="s">
        <v>831</v>
      </c>
      <c r="H175">
        <v>74</v>
      </c>
      <c r="I175" t="s">
        <v>1078</v>
      </c>
      <c r="J175" t="s">
        <v>1078</v>
      </c>
      <c r="K175" t="s">
        <v>1078</v>
      </c>
      <c r="L175" s="13">
        <v>1281.0179658366719</v>
      </c>
      <c r="M175" s="13">
        <v>2801.0407225631238</v>
      </c>
      <c r="N175" s="13">
        <v>8.3138414829598314E-4</v>
      </c>
      <c r="O175" s="13">
        <v>2975.6933158806851</v>
      </c>
      <c r="P175" s="13">
        <v>7</v>
      </c>
      <c r="Q175" t="s">
        <v>1079</v>
      </c>
      <c r="R175" t="s">
        <v>1266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BCE18-C5BE-4FF3-9645-A8A1E2BAD475}">
  <dimension ref="A1:Y88"/>
  <sheetViews>
    <sheetView topLeftCell="R1" workbookViewId="0">
      <selection activeCell="Y2" sqref="Y2:Y88"/>
    </sheetView>
  </sheetViews>
  <sheetFormatPr defaultRowHeight="14.4"/>
  <cols>
    <col min="2" max="2" width="9.33203125" customWidth="1"/>
    <col min="6" max="6" width="17.88671875" bestFit="1" customWidth="1"/>
    <col min="9" max="10" width="18.21875" style="14" bestFit="1" customWidth="1"/>
    <col min="11" max="11" width="18.88671875" style="14" bestFit="1" customWidth="1"/>
    <col min="12" max="14" width="18.21875" style="14" bestFit="1" customWidth="1"/>
    <col min="15" max="15" width="10.21875" style="15" bestFit="1" customWidth="1"/>
    <col min="16" max="16" width="17.77734375" bestFit="1" customWidth="1"/>
    <col min="17" max="17" width="20.44140625" bestFit="1" customWidth="1"/>
    <col min="18" max="18" width="67.77734375" bestFit="1" customWidth="1"/>
  </cols>
  <sheetData>
    <row r="1" spans="1:25">
      <c r="A1" t="s">
        <v>734</v>
      </c>
      <c r="B1" t="s">
        <v>709</v>
      </c>
      <c r="C1" t="s">
        <v>739</v>
      </c>
      <c r="D1" t="s">
        <v>740</v>
      </c>
      <c r="E1" t="s">
        <v>742</v>
      </c>
      <c r="F1" t="s">
        <v>1080</v>
      </c>
      <c r="G1" t="s">
        <v>1081</v>
      </c>
      <c r="H1" t="s">
        <v>1082</v>
      </c>
      <c r="I1" s="14" t="s">
        <v>1083</v>
      </c>
      <c r="J1" s="14" t="s">
        <v>1084</v>
      </c>
      <c r="K1" s="14" t="s">
        <v>1085</v>
      </c>
      <c r="L1" s="14" t="s">
        <v>1086</v>
      </c>
      <c r="M1" s="14" t="s">
        <v>1087</v>
      </c>
      <c r="N1" s="14" t="s">
        <v>1088</v>
      </c>
      <c r="O1" s="15" t="s">
        <v>1089</v>
      </c>
      <c r="P1" t="s">
        <v>1090</v>
      </c>
      <c r="Q1" t="s">
        <v>1091</v>
      </c>
      <c r="R1" t="s">
        <v>1092</v>
      </c>
      <c r="S1" t="s">
        <v>1267</v>
      </c>
      <c r="T1" t="s">
        <v>1268</v>
      </c>
      <c r="U1" t="s">
        <v>1269</v>
      </c>
      <c r="V1" t="s">
        <v>1270</v>
      </c>
      <c r="W1" t="s">
        <v>1271</v>
      </c>
      <c r="X1" t="s">
        <v>1272</v>
      </c>
      <c r="Y1" t="s">
        <v>1273</v>
      </c>
    </row>
    <row r="2" spans="1:25">
      <c r="A2" t="str" cm="1">
        <f t="array" ref="A2:A88">_xlfn.UNIQUE(PAGESPEED_RAW[Page_ID])</f>
        <v>P001</v>
      </c>
      <c r="B2" t="str">
        <f>_xlfn.XLOOKUP(A2,PAGESPEED_RAW[Page_ID],PAGESPEED_RAW[URL])</f>
        <v>https://pmb.widyatama.ac.id/</v>
      </c>
      <c r="C2" t="str">
        <f>_xlfn.XLOOKUP(A2,PAGESPEED_RAW[Page_ID],PAGESPEED_RAW[Final_Page_Type])</f>
        <v>Homepage</v>
      </c>
      <c r="D2" t="str">
        <f>_xlfn.XLOOKUP(A2,PAGESPEED_RAW[Page_ID],PAGESPEED_RAW[Speed_Test_Segment])</f>
        <v>Core PMB Website</v>
      </c>
      <c r="E2" t="str">
        <f>_xlfn.XLOOKUP(A2,PAGESPEED_RAW[Page_ID],PAGESPEED_RAW[Test_Priority])</f>
        <v>P1 - Critical</v>
      </c>
      <c r="F2">
        <f>AVERAGEIFS(PAGESPEED_RAW[Performance],PAGESPEED_RAW[Page_ID],A2,PAGESPEED_RAW[Device],"mobile")</f>
        <v>59</v>
      </c>
      <c r="G2">
        <f>AVERAGEIFS(PAGESPEED_RAW[Performance],PAGESPEED_RAW[Page_ID],A2,PAGESPEED_RAW[Device],"desktop")</f>
        <v>68</v>
      </c>
      <c r="H2">
        <f>G2-F2</f>
        <v>9</v>
      </c>
      <c r="I2" s="14">
        <f>AVERAGEIFS(PAGESPEED_RAW[LCP],PAGESPEED_RAW[Page_ID],A2,PAGESPEED_RAW[Device],"mobile")</f>
        <v>25501.07410608176</v>
      </c>
      <c r="J2" s="14">
        <f>AVERAGEIFS(PAGESPEED_RAW[LCP],PAGESPEED_RAW[Page_ID],A2,PAGESPEED_RAW[Device],"desktop")</f>
        <v>6901.1112631311671</v>
      </c>
      <c r="K2" s="14">
        <f>I2-J2</f>
        <v>18599.962842950594</v>
      </c>
      <c r="L2" s="14">
        <f>AVERAGEIFS(PAGESPEED_RAW[FCP],PAGESPEED_RAW[Page_ID],A2,PAGESPEED_RAW[Device],"mobile")</f>
        <v>3638.0097043678475</v>
      </c>
      <c r="M2" s="14">
        <f>AVERAGEIFS(PAGESPEED_RAW[FCP],PAGESPEED_RAW[Page_ID],A2,PAGESPEED_RAW[Device],"desktop")</f>
        <v>805.702061505605</v>
      </c>
      <c r="N2" s="14">
        <f>AVERAGEIFS(PAGESPEED_RAW[TBT],PAGESPEED_RAW[Page_ID],A2,PAGESPEED_RAW[Device],"mobile")</f>
        <v>35</v>
      </c>
      <c r="O2" s="15">
        <f>AVERAGEIFS(PAGESPEED_RAW[CLS],PAGESPEED_RAW[Page_ID],A2,PAGESPEED_RAW[Device],"mobile")</f>
        <v>3.1490254725131283E-4</v>
      </c>
      <c r="P2" t="str">
        <f>IF(OR(F2&lt;50,I2&gt;4000,N2&gt;300),"Critical",
IF(OR(F2&lt;70,I2&gt;2500,N2&gt;200),"High",
"Medium"))</f>
        <v>Critical</v>
      </c>
      <c r="Q2" t="str">
        <f>IF(I2&gt;4000,"Slow LCP",
IF(N2&gt;300,"High JavaScript Blocking",
IF(F2&lt;70,"Low Mobile Performance",
"Acceptable")))</f>
        <v>Slow LCP</v>
      </c>
      <c r="R2" t="str">
        <f>IF(I2&gt;4000,
"Optimize images, reduce render blocking resources, improve server response time",
IF(N2&gt;300,
"Reduce unused JavaScript, defer scripts, optimize third-party code",
IF(F2&lt;70,
"Improve mobile experience through caching, compression, and frontend optimization",
"Maintain current optimization")))</f>
        <v>Optimize images, reduce render blocking resources, improve server response time</v>
      </c>
      <c r="S2">
        <f>IF(F2&lt;50,3,
IF(F2&lt;70,2,
1))</f>
        <v>2</v>
      </c>
      <c r="T2">
        <f>IF(I2&gt;15000,3,
IF(I2&gt;4000,2,
1))</f>
        <v>3</v>
      </c>
      <c r="U2">
        <f>IF(N2&gt;600,3,
IF(N2&gt;200,2,
1))</f>
        <v>1</v>
      </c>
      <c r="V2">
        <f>IF(H2&gt;25,3,
IF(H2&gt;15,2,
1))</f>
        <v>1</v>
      </c>
      <c r="W2">
        <f>SUM(S2:V2)</f>
        <v>7</v>
      </c>
      <c r="X2">
        <f>RANK(W2,$W$2:$W$88,0)</f>
        <v>44</v>
      </c>
      <c r="Y2" t="str">
        <f>IF(W2&gt;=10,"Immediate Optimization",
IF(W2&gt;=7,"Priority Optimization",
"Routine Optimization"))</f>
        <v>Priority Optimization</v>
      </c>
    </row>
    <row r="3" spans="1:25">
      <c r="A3" t="str">
        <v>P002</v>
      </c>
      <c r="B3" t="str">
        <f>_xlfn.XLOOKUP(A3,PAGESPEED_RAW[Page_ID],PAGESPEED_RAW[URL])</f>
        <v>https://pmb.widyatama.ac.id/petunjuk-pendaftaran/</v>
      </c>
      <c r="C3" t="str">
        <f>_xlfn.XLOOKUP(A3,PAGESPEED_RAW[Page_ID],PAGESPEED_RAW[Final_Page_Type])</f>
        <v>Admission</v>
      </c>
      <c r="D3" t="str">
        <f>_xlfn.XLOOKUP(A3,PAGESPEED_RAW[Page_ID],PAGESPEED_RAW[Speed_Test_Segment])</f>
        <v>Core PMB Website</v>
      </c>
      <c r="E3" t="str">
        <f>_xlfn.XLOOKUP(A3,PAGESPEED_RAW[Page_ID],PAGESPEED_RAW[Test_Priority])</f>
        <v>P1 - Critical</v>
      </c>
      <c r="F3">
        <f>AVERAGEIFS(PAGESPEED_RAW[Performance],PAGESPEED_RAW[Page_ID],A3,PAGESPEED_RAW[Device],"mobile")</f>
        <v>57</v>
      </c>
      <c r="G3">
        <f>AVERAGEIFS(PAGESPEED_RAW[Performance],PAGESPEED_RAW[Page_ID],A3,PAGESPEED_RAW[Device],"desktop")</f>
        <v>72</v>
      </c>
      <c r="H3">
        <f t="shared" ref="H3:H66" si="0">G3-F3</f>
        <v>15</v>
      </c>
      <c r="I3" s="14">
        <f>AVERAGEIFS(PAGESPEED_RAW[LCP],PAGESPEED_RAW[Page_ID],A3,PAGESPEED_RAW[Device],"mobile")</f>
        <v>21837.126630653431</v>
      </c>
      <c r="J3" s="14">
        <f>AVERAGEIFS(PAGESPEED_RAW[LCP],PAGESPEED_RAW[Page_ID],A3,PAGESPEED_RAW[Device],"desktop")</f>
        <v>3681.0406000866355</v>
      </c>
      <c r="K3" s="14">
        <f t="shared" ref="K3:K66" si="1">I3-J3</f>
        <v>18156.086030566796</v>
      </c>
      <c r="L3" s="14">
        <f>AVERAGEIFS(PAGESPEED_RAW[FCP],PAGESPEED_RAW[Page_ID],A3,PAGESPEED_RAW[Device],"mobile")</f>
        <v>3666.0194137587146</v>
      </c>
      <c r="M3" s="14">
        <f>AVERAGEIFS(PAGESPEED_RAW[FCP],PAGESPEED_RAW[Page_ID],A3,PAGESPEED_RAW[Device],"desktop")</f>
        <v>806.03190691944496</v>
      </c>
      <c r="N3" s="14">
        <f>AVERAGEIFS(PAGESPEED_RAW[TBT],PAGESPEED_RAW[Page_ID],A3,PAGESPEED_RAW[Device],"mobile")</f>
        <v>132.49999999999955</v>
      </c>
      <c r="O3" s="15">
        <f>AVERAGEIFS(PAGESPEED_RAW[CLS],PAGESPEED_RAW[Page_ID],A3,PAGESPEED_RAW[Device],"mobile")</f>
        <v>0</v>
      </c>
      <c r="P3" t="str">
        <f t="shared" ref="P3:P66" si="2">IF(OR(F3&lt;50,I3&gt;4000,N3&gt;300),"Critical",
IF(OR(F3&lt;70,I3&gt;2500,N3&gt;200),"High",
"Medium"))</f>
        <v>Critical</v>
      </c>
      <c r="Q3" t="str">
        <f t="shared" ref="Q3:Q66" si="3">IF(I3&gt;4000,"Slow LCP",
IF(N3&gt;300,"High JavaScript Blocking",
IF(F3&lt;70,"Low Mobile Performance",
"Acceptable")))</f>
        <v>Slow LCP</v>
      </c>
      <c r="R3" t="str">
        <f t="shared" ref="R3:R66" si="4">IF(I3&gt;4000,
"Optimize images, reduce render blocking resources, improve server response time",
IF(N3&gt;300,
"Reduce unused JavaScript, defer scripts, optimize third-party code",
IF(F3&lt;70,
"Improve mobile experience through caching, compression, and frontend optimization",
"Maintain current optimization")))</f>
        <v>Optimize images, reduce render blocking resources, improve server response time</v>
      </c>
      <c r="S3">
        <f t="shared" ref="S3:S66" si="5">IF(F3&lt;50,3,
IF(F3&lt;70,2,
1))</f>
        <v>2</v>
      </c>
      <c r="T3">
        <f t="shared" ref="T3:T66" si="6">IF(I3&gt;15000,3,
IF(I3&gt;4000,2,
1))</f>
        <v>3</v>
      </c>
      <c r="U3">
        <f t="shared" ref="U3:U66" si="7">IF(N3&gt;600,3,
IF(N3&gt;200,2,
1))</f>
        <v>1</v>
      </c>
      <c r="V3">
        <f t="shared" ref="V3:V66" si="8">IF(H3&gt;25,3,
IF(H3&gt;15,2,
1))</f>
        <v>1</v>
      </c>
      <c r="W3">
        <f t="shared" ref="W3:W66" si="9">SUM(S3:V3)</f>
        <v>7</v>
      </c>
      <c r="X3">
        <f t="shared" ref="X3:X66" si="10">RANK(W3,$W$2:$W$88,0)</f>
        <v>44</v>
      </c>
      <c r="Y3" t="str">
        <f t="shared" ref="Y3:Y66" si="11">IF(W3&gt;=10,"Immediate Optimization",
IF(W3&gt;=7,"Priority Optimization",
"Routine Optimization"))</f>
        <v>Priority Optimization</v>
      </c>
    </row>
    <row r="4" spans="1:25">
      <c r="A4" t="str">
        <v>P003</v>
      </c>
      <c r="B4" t="str">
        <f>_xlfn.XLOOKUP(A4,PAGESPEED_RAW[Page_ID],PAGESPEED_RAW[URL])</f>
        <v>https://pmb.widyatama.ac.id/jenjang-pendidikan/</v>
      </c>
      <c r="C4" t="str">
        <f>_xlfn.XLOOKUP(A4,PAGESPEED_RAW[Page_ID],PAGESPEED_RAW[Final_Page_Type])</f>
        <v>Information</v>
      </c>
      <c r="D4" t="str">
        <f>_xlfn.XLOOKUP(A4,PAGESPEED_RAW[Page_ID],PAGESPEED_RAW[Speed_Test_Segment])</f>
        <v>Core PMB Website</v>
      </c>
      <c r="E4" t="str">
        <f>_xlfn.XLOOKUP(A4,PAGESPEED_RAW[Page_ID],PAGESPEED_RAW[Test_Priority])</f>
        <v>P2 - High</v>
      </c>
      <c r="F4">
        <f>AVERAGEIFS(PAGESPEED_RAW[Performance],PAGESPEED_RAW[Page_ID],A4,PAGESPEED_RAW[Device],"mobile")</f>
        <v>57</v>
      </c>
      <c r="G4">
        <f>AVERAGEIFS(PAGESPEED_RAW[Performance],PAGESPEED_RAW[Page_ID],A4,PAGESPEED_RAW[Device],"desktop")</f>
        <v>79</v>
      </c>
      <c r="H4">
        <f t="shared" si="0"/>
        <v>22</v>
      </c>
      <c r="I4" s="14">
        <f>AVERAGEIFS(PAGESPEED_RAW[LCP],PAGESPEED_RAW[Page_ID],A4,PAGESPEED_RAW[Device],"mobile")</f>
        <v>14956.062443012441</v>
      </c>
      <c r="J4" s="14">
        <f>AVERAGEIFS(PAGESPEED_RAW[LCP],PAGESPEED_RAW[Page_ID],A4,PAGESPEED_RAW[Device],"desktop")</f>
        <v>2381.0308588643284</v>
      </c>
      <c r="K4" s="14">
        <f t="shared" si="1"/>
        <v>12575.031584148113</v>
      </c>
      <c r="L4" s="14">
        <f>AVERAGEIFS(PAGESPEED_RAW[FCP],PAGESPEED_RAW[Page_ID],A4,PAGESPEED_RAW[Device],"mobile")</f>
        <v>4451.0172919111401</v>
      </c>
      <c r="M4" s="14">
        <f>AVERAGEIFS(PAGESPEED_RAW[FCP],PAGESPEED_RAW[Page_ID],A4,PAGESPEED_RAW[Device],"desktop")</f>
        <v>805.70193698088246</v>
      </c>
      <c r="N4" s="14">
        <f>AVERAGEIFS(PAGESPEED_RAW[TBT],PAGESPEED_RAW[Page_ID],A4,PAGESPEED_RAW[Device],"mobile")</f>
        <v>3.5</v>
      </c>
      <c r="O4" s="15">
        <f>AVERAGEIFS(PAGESPEED_RAW[CLS],PAGESPEED_RAW[Page_ID],A4,PAGESPEED_RAW[Device],"mobile")</f>
        <v>0</v>
      </c>
      <c r="P4" t="str">
        <f t="shared" si="2"/>
        <v>Critical</v>
      </c>
      <c r="Q4" t="str">
        <f t="shared" si="3"/>
        <v>Slow LCP</v>
      </c>
      <c r="R4" t="str">
        <f t="shared" si="4"/>
        <v>Optimize images, reduce render blocking resources, improve server response time</v>
      </c>
      <c r="S4">
        <f t="shared" si="5"/>
        <v>2</v>
      </c>
      <c r="T4">
        <f t="shared" si="6"/>
        <v>2</v>
      </c>
      <c r="U4">
        <f t="shared" si="7"/>
        <v>1</v>
      </c>
      <c r="V4">
        <f t="shared" si="8"/>
        <v>2</v>
      </c>
      <c r="W4">
        <f t="shared" si="9"/>
        <v>7</v>
      </c>
      <c r="X4">
        <f t="shared" si="10"/>
        <v>44</v>
      </c>
      <c r="Y4" t="str">
        <f t="shared" si="11"/>
        <v>Priority Optimization</v>
      </c>
    </row>
    <row r="5" spans="1:25">
      <c r="A5" t="str">
        <v>P004</v>
      </c>
      <c r="B5" t="str">
        <f>_xlfn.XLOOKUP(A5,PAGESPEED_RAW[Page_ID],PAGESPEED_RAW[URL])</f>
        <v>https://pmb.widyatama.ac.id/privacy-policy/</v>
      </c>
      <c r="C5" t="str">
        <f>_xlfn.XLOOKUP(A5,PAGESPEED_RAW[Page_ID],PAGESPEED_RAW[Final_Page_Type])</f>
        <v>Policy</v>
      </c>
      <c r="D5" t="str">
        <f>_xlfn.XLOOKUP(A5,PAGESPEED_RAW[Page_ID],PAGESPEED_RAW[Speed_Test_Segment])</f>
        <v>Core PMB Website</v>
      </c>
      <c r="E5" t="str">
        <f>_xlfn.XLOOKUP(A5,PAGESPEED_RAW[Page_ID],PAGESPEED_RAW[Test_Priority])</f>
        <v>P3 - Standard</v>
      </c>
      <c r="F5">
        <f>AVERAGEIFS(PAGESPEED_RAW[Performance],PAGESPEED_RAW[Page_ID],A5,PAGESPEED_RAW[Device],"mobile")</f>
        <v>57</v>
      </c>
      <c r="G5">
        <f>AVERAGEIFS(PAGESPEED_RAW[Performance],PAGESPEED_RAW[Page_ID],A5,PAGESPEED_RAW[Device],"desktop")</f>
        <v>81</v>
      </c>
      <c r="H5">
        <f t="shared" si="0"/>
        <v>24</v>
      </c>
      <c r="I5" s="14">
        <f>AVERAGEIFS(PAGESPEED_RAW[LCP],PAGESPEED_RAW[Page_ID],A5,PAGESPEED_RAW[Device],"mobile")</f>
        <v>14952.535683538999</v>
      </c>
      <c r="J5" s="14">
        <f>AVERAGEIFS(PAGESPEED_RAW[LCP],PAGESPEED_RAW[Page_ID],A5,PAGESPEED_RAW[Device],"desktop")</f>
        <v>2252.0292349742649</v>
      </c>
      <c r="K5" s="14">
        <f t="shared" si="1"/>
        <v>12700.506448564734</v>
      </c>
      <c r="L5" s="14">
        <f>AVERAGEIFS(PAGESPEED_RAW[FCP],PAGESPEED_RAW[Page_ID],A5,PAGESPEED_RAW[Device],"mobile")</f>
        <v>4443.0098815954152</v>
      </c>
      <c r="M5" s="14">
        <f>AVERAGEIFS(PAGESPEED_RAW[FCP],PAGESPEED_RAW[Page_ID],A5,PAGESPEED_RAW[Device],"desktop")</f>
        <v>765.70183716944462</v>
      </c>
      <c r="N5" s="14">
        <f>AVERAGEIFS(PAGESPEED_RAW[TBT],PAGESPEED_RAW[Page_ID],A5,PAGESPEED_RAW[Device],"mobile")</f>
        <v>0</v>
      </c>
      <c r="O5" s="15">
        <f>AVERAGEIFS(PAGESPEED_RAW[CLS],PAGESPEED_RAW[Page_ID],A5,PAGESPEED_RAW[Device],"mobile")</f>
        <v>0</v>
      </c>
      <c r="P5" t="str">
        <f t="shared" si="2"/>
        <v>Critical</v>
      </c>
      <c r="Q5" t="str">
        <f t="shared" si="3"/>
        <v>Slow LCP</v>
      </c>
      <c r="R5" t="str">
        <f t="shared" si="4"/>
        <v>Optimize images, reduce render blocking resources, improve server response time</v>
      </c>
      <c r="S5">
        <f t="shared" si="5"/>
        <v>2</v>
      </c>
      <c r="T5">
        <f t="shared" si="6"/>
        <v>2</v>
      </c>
      <c r="U5">
        <f t="shared" si="7"/>
        <v>1</v>
      </c>
      <c r="V5">
        <f t="shared" si="8"/>
        <v>2</v>
      </c>
      <c r="W5">
        <f t="shared" si="9"/>
        <v>7</v>
      </c>
      <c r="X5">
        <f t="shared" si="10"/>
        <v>44</v>
      </c>
      <c r="Y5" t="str">
        <f t="shared" si="11"/>
        <v>Priority Optimization</v>
      </c>
    </row>
    <row r="6" spans="1:25">
      <c r="A6" t="str">
        <v>P005</v>
      </c>
      <c r="B6" t="str">
        <f>_xlfn.XLOOKUP(A6,PAGESPEED_RAW[Page_ID],PAGESPEED_RAW[URL])</f>
        <v>https://pmb.widyatama.ac.id/cookie-policy/</v>
      </c>
      <c r="C6" t="str">
        <f>_xlfn.XLOOKUP(A6,PAGESPEED_RAW[Page_ID],PAGESPEED_RAW[Final_Page_Type])</f>
        <v>Policy</v>
      </c>
      <c r="D6" t="str">
        <f>_xlfn.XLOOKUP(A6,PAGESPEED_RAW[Page_ID],PAGESPEED_RAW[Speed_Test_Segment])</f>
        <v>Core PMB Website</v>
      </c>
      <c r="E6" t="str">
        <f>_xlfn.XLOOKUP(A6,PAGESPEED_RAW[Page_ID],PAGESPEED_RAW[Test_Priority])</f>
        <v>P3 - Standard</v>
      </c>
      <c r="F6">
        <f>AVERAGEIFS(PAGESPEED_RAW[Performance],PAGESPEED_RAW[Page_ID],A6,PAGESPEED_RAW[Device],"mobile")</f>
        <v>57</v>
      </c>
      <c r="G6">
        <f>AVERAGEIFS(PAGESPEED_RAW[Performance],PAGESPEED_RAW[Page_ID],A6,PAGESPEED_RAW[Device],"desktop")</f>
        <v>81</v>
      </c>
      <c r="H6">
        <f t="shared" si="0"/>
        <v>24</v>
      </c>
      <c r="I6" s="14">
        <f>AVERAGEIFS(PAGESPEED_RAW[LCP],PAGESPEED_RAW[Page_ID],A6,PAGESPEED_RAW[Device],"mobile")</f>
        <v>14963.136041070571</v>
      </c>
      <c r="J6" s="14">
        <f>AVERAGEIFS(PAGESPEED_RAW[LCP],PAGESPEED_RAW[Page_ID],A6,PAGESPEED_RAW[Device],"desktop")</f>
        <v>2230.5426531117982</v>
      </c>
      <c r="K6" s="14">
        <f t="shared" si="1"/>
        <v>12732.593387958772</v>
      </c>
      <c r="L6" s="14">
        <f>AVERAGEIFS(PAGESPEED_RAW[FCP],PAGESPEED_RAW[Page_ID],A6,PAGESPEED_RAW[Device],"mobile")</f>
        <v>4472.0376729118525</v>
      </c>
      <c r="M6" s="14">
        <f>AVERAGEIFS(PAGESPEED_RAW[FCP],PAGESPEED_RAW[Page_ID],A6,PAGESPEED_RAW[Device],"desktop")</f>
        <v>805.70198768061641</v>
      </c>
      <c r="N6" s="14">
        <f>AVERAGEIFS(PAGESPEED_RAW[TBT],PAGESPEED_RAW[Page_ID],A6,PAGESPEED_RAW[Device],"mobile")</f>
        <v>56.5</v>
      </c>
      <c r="O6" s="15">
        <f>AVERAGEIFS(PAGESPEED_RAW[CLS],PAGESPEED_RAW[Page_ID],A6,PAGESPEED_RAW[Device],"mobile")</f>
        <v>0</v>
      </c>
      <c r="P6" t="str">
        <f t="shared" si="2"/>
        <v>Critical</v>
      </c>
      <c r="Q6" t="str">
        <f t="shared" si="3"/>
        <v>Slow LCP</v>
      </c>
      <c r="R6" t="str">
        <f t="shared" si="4"/>
        <v>Optimize images, reduce render blocking resources, improve server response time</v>
      </c>
      <c r="S6">
        <f t="shared" si="5"/>
        <v>2</v>
      </c>
      <c r="T6">
        <f t="shared" si="6"/>
        <v>2</v>
      </c>
      <c r="U6">
        <f t="shared" si="7"/>
        <v>1</v>
      </c>
      <c r="V6">
        <f t="shared" si="8"/>
        <v>2</v>
      </c>
      <c r="W6">
        <f t="shared" si="9"/>
        <v>7</v>
      </c>
      <c r="X6">
        <f t="shared" si="10"/>
        <v>44</v>
      </c>
      <c r="Y6" t="str">
        <f t="shared" si="11"/>
        <v>Priority Optimization</v>
      </c>
    </row>
    <row r="7" spans="1:25">
      <c r="A7" t="str">
        <v>P006</v>
      </c>
      <c r="B7" t="str">
        <f>_xlfn.XLOOKUP(A7,PAGESPEED_RAW[Page_ID],PAGESPEED_RAW[URL])</f>
        <v>https://pmb.widyatama.ac.id/biaya-kuliah-pascasarjana/</v>
      </c>
      <c r="C7" t="str">
        <f>_xlfn.XLOOKUP(A7,PAGESPEED_RAW[Page_ID],PAGESPEED_RAW[Final_Page_Type])</f>
        <v>Pricing</v>
      </c>
      <c r="D7" t="str">
        <f>_xlfn.XLOOKUP(A7,PAGESPEED_RAW[Page_ID],PAGESPEED_RAW[Speed_Test_Segment])</f>
        <v>Core PMB Website</v>
      </c>
      <c r="E7" t="str">
        <f>_xlfn.XLOOKUP(A7,PAGESPEED_RAW[Page_ID],PAGESPEED_RAW[Test_Priority])</f>
        <v>P1 - Critical</v>
      </c>
      <c r="F7">
        <f>AVERAGEIFS(PAGESPEED_RAW[Performance],PAGESPEED_RAW[Page_ID],A7,PAGESPEED_RAW[Device],"mobile")</f>
        <v>57</v>
      </c>
      <c r="G7">
        <f>AVERAGEIFS(PAGESPEED_RAW[Performance],PAGESPEED_RAW[Page_ID],A7,PAGESPEED_RAW[Device],"desktop")</f>
        <v>81</v>
      </c>
      <c r="H7">
        <f t="shared" si="0"/>
        <v>24</v>
      </c>
      <c r="I7" s="14">
        <f>AVERAGEIFS(PAGESPEED_RAW[LCP],PAGESPEED_RAW[Page_ID],A7,PAGESPEED_RAW[Device],"mobile")</f>
        <v>15021.058662795178</v>
      </c>
      <c r="J7" s="14">
        <f>AVERAGEIFS(PAGESPEED_RAW[LCP],PAGESPEED_RAW[Page_ID],A7,PAGESPEED_RAW[Device],"desktop")</f>
        <v>2241.0462673747347</v>
      </c>
      <c r="K7" s="14">
        <f t="shared" si="1"/>
        <v>12780.012395420443</v>
      </c>
      <c r="L7" s="14">
        <f>AVERAGEIFS(PAGESPEED_RAW[FCP],PAGESPEED_RAW[Page_ID],A7,PAGESPEED_RAW[Device],"mobile")</f>
        <v>4429.0161621986717</v>
      </c>
      <c r="M7" s="14">
        <f>AVERAGEIFS(PAGESPEED_RAW[FCP],PAGESPEED_RAW[Page_ID],A7,PAGESPEED_RAW[Device],"desktop")</f>
        <v>805.70437003072107</v>
      </c>
      <c r="N7" s="14">
        <f>AVERAGEIFS(PAGESPEED_RAW[TBT],PAGESPEED_RAW[Page_ID],A7,PAGESPEED_RAW[Device],"mobile")</f>
        <v>0</v>
      </c>
      <c r="O7" s="15">
        <f>AVERAGEIFS(PAGESPEED_RAW[CLS],PAGESPEED_RAW[Page_ID],A7,PAGESPEED_RAW[Device],"mobile")</f>
        <v>0</v>
      </c>
      <c r="P7" t="str">
        <f t="shared" si="2"/>
        <v>Critical</v>
      </c>
      <c r="Q7" t="str">
        <f t="shared" si="3"/>
        <v>Slow LCP</v>
      </c>
      <c r="R7" t="str">
        <f t="shared" si="4"/>
        <v>Optimize images, reduce render blocking resources, improve server response time</v>
      </c>
      <c r="S7">
        <f t="shared" si="5"/>
        <v>2</v>
      </c>
      <c r="T7">
        <f t="shared" si="6"/>
        <v>3</v>
      </c>
      <c r="U7">
        <f t="shared" si="7"/>
        <v>1</v>
      </c>
      <c r="V7">
        <f t="shared" si="8"/>
        <v>2</v>
      </c>
      <c r="W7">
        <f t="shared" si="9"/>
        <v>8</v>
      </c>
      <c r="X7">
        <f t="shared" si="10"/>
        <v>5</v>
      </c>
      <c r="Y7" t="str">
        <f t="shared" si="11"/>
        <v>Priority Optimization</v>
      </c>
    </row>
    <row r="8" spans="1:25">
      <c r="A8" t="str">
        <v>P007</v>
      </c>
      <c r="B8" t="str">
        <f>_xlfn.XLOOKUP(A8,PAGESPEED_RAW[Page_ID],PAGESPEED_RAW[URL])</f>
        <v>https://pmb.widyatama.ac.id/mahasiswa-internasional/</v>
      </c>
      <c r="C8" t="str">
        <f>_xlfn.XLOOKUP(A8,PAGESPEED_RAW[Page_ID],PAGESPEED_RAW[Final_Page_Type])</f>
        <v>International</v>
      </c>
      <c r="D8" t="str">
        <f>_xlfn.XLOOKUP(A8,PAGESPEED_RAW[Page_ID],PAGESPEED_RAW[Speed_Test_Segment])</f>
        <v>Core PMB Website</v>
      </c>
      <c r="E8" t="str">
        <f>_xlfn.XLOOKUP(A8,PAGESPEED_RAW[Page_ID],PAGESPEED_RAW[Test_Priority])</f>
        <v>P2 - High</v>
      </c>
      <c r="F8">
        <f>AVERAGEIFS(PAGESPEED_RAW[Performance],PAGESPEED_RAW[Page_ID],A8,PAGESPEED_RAW[Device],"mobile")</f>
        <v>56</v>
      </c>
      <c r="G8">
        <f>AVERAGEIFS(PAGESPEED_RAW[Performance],PAGESPEED_RAW[Page_ID],A8,PAGESPEED_RAW[Device],"desktop")</f>
        <v>65</v>
      </c>
      <c r="H8">
        <f t="shared" si="0"/>
        <v>9</v>
      </c>
      <c r="I8" s="14">
        <f>AVERAGEIFS(PAGESPEED_RAW[LCP],PAGESPEED_RAW[Page_ID],A8,PAGESPEED_RAW[Device],"mobile")</f>
        <v>70986.455635078979</v>
      </c>
      <c r="J8" s="14">
        <f>AVERAGEIFS(PAGESPEED_RAW[LCP],PAGESPEED_RAW[Page_ID],A8,PAGESPEED_RAW[Device],"desktop")</f>
        <v>11461.312840027991</v>
      </c>
      <c r="K8" s="14">
        <f t="shared" si="1"/>
        <v>59525.14279505099</v>
      </c>
      <c r="L8" s="14">
        <f>AVERAGEIFS(PAGESPEED_RAW[FCP],PAGESPEED_RAW[Page_ID],A8,PAGESPEED_RAW[Device],"mobile")</f>
        <v>4467.0261192083453</v>
      </c>
      <c r="M8" s="14">
        <f>AVERAGEIFS(PAGESPEED_RAW[FCP],PAGESPEED_RAW[Page_ID],A8,PAGESPEED_RAW[Device],"desktop")</f>
        <v>806.19567718767712</v>
      </c>
      <c r="N8" s="14">
        <f>AVERAGEIFS(PAGESPEED_RAW[TBT],PAGESPEED_RAW[Page_ID],A8,PAGESPEED_RAW[Device],"mobile")</f>
        <v>50</v>
      </c>
      <c r="O8" s="15">
        <f>AVERAGEIFS(PAGESPEED_RAW[CLS],PAGESPEED_RAW[Page_ID],A8,PAGESPEED_RAW[Device],"mobile")</f>
        <v>0</v>
      </c>
      <c r="P8" t="str">
        <f t="shared" si="2"/>
        <v>Critical</v>
      </c>
      <c r="Q8" t="str">
        <f t="shared" si="3"/>
        <v>Slow LCP</v>
      </c>
      <c r="R8" t="str">
        <f t="shared" si="4"/>
        <v>Optimize images, reduce render blocking resources, improve server response time</v>
      </c>
      <c r="S8">
        <f t="shared" si="5"/>
        <v>2</v>
      </c>
      <c r="T8">
        <f t="shared" si="6"/>
        <v>3</v>
      </c>
      <c r="U8">
        <f t="shared" si="7"/>
        <v>1</v>
      </c>
      <c r="V8">
        <f t="shared" si="8"/>
        <v>1</v>
      </c>
      <c r="W8">
        <f t="shared" si="9"/>
        <v>7</v>
      </c>
      <c r="X8">
        <f t="shared" si="10"/>
        <v>44</v>
      </c>
      <c r="Y8" t="str">
        <f t="shared" si="11"/>
        <v>Priority Optimization</v>
      </c>
    </row>
    <row r="9" spans="1:25">
      <c r="A9" t="str">
        <v>P008</v>
      </c>
      <c r="B9" t="str">
        <f>_xlfn.XLOOKUP(A9,PAGESPEED_RAW[Page_ID],PAGESPEED_RAW[URL])</f>
        <v>https://pmb.widyatama.ac.id/output-lulusan/</v>
      </c>
      <c r="C9" t="str">
        <f>_xlfn.XLOOKUP(A9,PAGESPEED_RAW[Page_ID],PAGESPEED_RAW[Final_Page_Type])</f>
        <v>Information</v>
      </c>
      <c r="D9" t="str">
        <f>_xlfn.XLOOKUP(A9,PAGESPEED_RAW[Page_ID],PAGESPEED_RAW[Speed_Test_Segment])</f>
        <v>Core PMB Website</v>
      </c>
      <c r="E9" t="str">
        <f>_xlfn.XLOOKUP(A9,PAGESPEED_RAW[Page_ID],PAGESPEED_RAW[Test_Priority])</f>
        <v>P2 - High</v>
      </c>
      <c r="F9">
        <f>AVERAGEIFS(PAGESPEED_RAW[Performance],PAGESPEED_RAW[Page_ID],A9,PAGESPEED_RAW[Device],"mobile")</f>
        <v>58</v>
      </c>
      <c r="G9">
        <f>AVERAGEIFS(PAGESPEED_RAW[Performance],PAGESPEED_RAW[Page_ID],A9,PAGESPEED_RAW[Device],"desktop")</f>
        <v>77</v>
      </c>
      <c r="H9">
        <f t="shared" si="0"/>
        <v>19</v>
      </c>
      <c r="I9" s="14">
        <f>AVERAGEIFS(PAGESPEED_RAW[LCP],PAGESPEED_RAW[Page_ID],A9,PAGESPEED_RAW[Device],"mobile")</f>
        <v>13501.065675623069</v>
      </c>
      <c r="J9" s="14">
        <f>AVERAGEIFS(PAGESPEED_RAW[LCP],PAGESPEED_RAW[Page_ID],A9,PAGESPEED_RAW[Device],"desktop")</f>
        <v>2521.0508402509436</v>
      </c>
      <c r="K9" s="14">
        <f t="shared" si="1"/>
        <v>10980.014835372125</v>
      </c>
      <c r="L9" s="14">
        <f>AVERAGEIFS(PAGESPEED_RAW[FCP],PAGESPEED_RAW[Page_ID],A9,PAGESPEED_RAW[Device],"mobile")</f>
        <v>3640.0164189057678</v>
      </c>
      <c r="M9" s="14">
        <f>AVERAGEIFS(PAGESPEED_RAW[FCP],PAGESPEED_RAW[Page_ID],A9,PAGESPEED_RAW[Device],"desktop")</f>
        <v>807.01416859452547</v>
      </c>
      <c r="N9" s="14">
        <f>AVERAGEIFS(PAGESPEED_RAW[TBT],PAGESPEED_RAW[Page_ID],A9,PAGESPEED_RAW[Device],"mobile")</f>
        <v>65</v>
      </c>
      <c r="O9" s="15">
        <f>AVERAGEIFS(PAGESPEED_RAW[CLS],PAGESPEED_RAW[Page_ID],A9,PAGESPEED_RAW[Device],"mobile")</f>
        <v>0</v>
      </c>
      <c r="P9" t="str">
        <f t="shared" si="2"/>
        <v>Critical</v>
      </c>
      <c r="Q9" t="str">
        <f t="shared" si="3"/>
        <v>Slow LCP</v>
      </c>
      <c r="R9" t="str">
        <f t="shared" si="4"/>
        <v>Optimize images, reduce render blocking resources, improve server response time</v>
      </c>
      <c r="S9">
        <f t="shared" si="5"/>
        <v>2</v>
      </c>
      <c r="T9">
        <f t="shared" si="6"/>
        <v>2</v>
      </c>
      <c r="U9">
        <f t="shared" si="7"/>
        <v>1</v>
      </c>
      <c r="V9">
        <f t="shared" si="8"/>
        <v>2</v>
      </c>
      <c r="W9">
        <f t="shared" si="9"/>
        <v>7</v>
      </c>
      <c r="X9">
        <f t="shared" si="10"/>
        <v>44</v>
      </c>
      <c r="Y9" t="str">
        <f t="shared" si="11"/>
        <v>Priority Optimization</v>
      </c>
    </row>
    <row r="10" spans="1:25">
      <c r="A10" t="str">
        <v>P009</v>
      </c>
      <c r="B10" t="str">
        <f>_xlfn.XLOOKUP(A10,PAGESPEED_RAW[Page_ID],PAGESPEED_RAW[URL])</f>
        <v>https://pmb.widyatama.ac.id/beasiswa-mahasiswa-aktif/</v>
      </c>
      <c r="C10" t="str">
        <f>_xlfn.XLOOKUP(A10,PAGESPEED_RAW[Page_ID],PAGESPEED_RAW[Final_Page_Type])</f>
        <v>Campaign</v>
      </c>
      <c r="D10" t="str">
        <f>_xlfn.XLOOKUP(A10,PAGESPEED_RAW[Page_ID],PAGESPEED_RAW[Speed_Test_Segment])</f>
        <v>Core PMB Website</v>
      </c>
      <c r="E10" t="str">
        <f>_xlfn.XLOOKUP(A10,PAGESPEED_RAW[Page_ID],PAGESPEED_RAW[Test_Priority])</f>
        <v>P2 - High</v>
      </c>
      <c r="F10">
        <f>AVERAGEIFS(PAGESPEED_RAW[Performance],PAGESPEED_RAW[Page_ID],A10,PAGESPEED_RAW[Device],"mobile")</f>
        <v>57</v>
      </c>
      <c r="G10">
        <f>AVERAGEIFS(PAGESPEED_RAW[Performance],PAGESPEED_RAW[Page_ID],A10,PAGESPEED_RAW[Device],"desktop")</f>
        <v>80</v>
      </c>
      <c r="H10">
        <f t="shared" si="0"/>
        <v>23</v>
      </c>
      <c r="I10" s="14">
        <f>AVERAGEIFS(PAGESPEED_RAW[LCP],PAGESPEED_RAW[Page_ID],A10,PAGESPEED_RAW[Device],"mobile")</f>
        <v>14884.596506185193</v>
      </c>
      <c r="J10" s="14">
        <f>AVERAGEIFS(PAGESPEED_RAW[LCP],PAGESPEED_RAW[Page_ID],A10,PAGESPEED_RAW[Device],"desktop")</f>
        <v>2541.0605137991552</v>
      </c>
      <c r="K10" s="14">
        <f t="shared" si="1"/>
        <v>12343.535992386038</v>
      </c>
      <c r="L10" s="14">
        <f>AVERAGEIFS(PAGESPEED_RAW[FCP],PAGESPEED_RAW[Page_ID],A10,PAGESPEED_RAW[Device],"mobile")</f>
        <v>4413.0268625463941</v>
      </c>
      <c r="M10" s="14">
        <f>AVERAGEIFS(PAGESPEED_RAW[FCP],PAGESPEED_RAW[Page_ID],A10,PAGESPEED_RAW[Device],"desktop")</f>
        <v>765.2032358648944</v>
      </c>
      <c r="N10" s="14">
        <f>AVERAGEIFS(PAGESPEED_RAW[TBT],PAGESPEED_RAW[Page_ID],A10,PAGESPEED_RAW[Device],"mobile")</f>
        <v>6</v>
      </c>
      <c r="O10" s="15">
        <f>AVERAGEIFS(PAGESPEED_RAW[CLS],PAGESPEED_RAW[Page_ID],A10,PAGESPEED_RAW[Device],"mobile")</f>
        <v>0</v>
      </c>
      <c r="P10" t="str">
        <f t="shared" si="2"/>
        <v>Critical</v>
      </c>
      <c r="Q10" t="str">
        <f t="shared" si="3"/>
        <v>Slow LCP</v>
      </c>
      <c r="R10" t="str">
        <f t="shared" si="4"/>
        <v>Optimize images, reduce render blocking resources, improve server response time</v>
      </c>
      <c r="S10">
        <f t="shared" si="5"/>
        <v>2</v>
      </c>
      <c r="T10">
        <f t="shared" si="6"/>
        <v>2</v>
      </c>
      <c r="U10">
        <f t="shared" si="7"/>
        <v>1</v>
      </c>
      <c r="V10">
        <f t="shared" si="8"/>
        <v>2</v>
      </c>
      <c r="W10">
        <f t="shared" si="9"/>
        <v>7</v>
      </c>
      <c r="X10">
        <f t="shared" si="10"/>
        <v>44</v>
      </c>
      <c r="Y10" t="str">
        <f t="shared" si="11"/>
        <v>Priority Optimization</v>
      </c>
    </row>
    <row r="11" spans="1:25">
      <c r="A11" t="str">
        <v>P010</v>
      </c>
      <c r="B11" t="str">
        <f>_xlfn.XLOOKUP(A11,PAGESPEED_RAW[Page_ID],PAGESPEED_RAW[URL])</f>
        <v>https://pmb.widyatama.ac.id/program-rpl/</v>
      </c>
      <c r="C11" t="str">
        <f>_xlfn.XLOOKUP(A11,PAGESPEED_RAW[Page_ID],PAGESPEED_RAW[Final_Page_Type])</f>
        <v>Program</v>
      </c>
      <c r="D11" t="str">
        <f>_xlfn.XLOOKUP(A11,PAGESPEED_RAW[Page_ID],PAGESPEED_RAW[Speed_Test_Segment])</f>
        <v>Core PMB Website</v>
      </c>
      <c r="E11" t="str">
        <f>_xlfn.XLOOKUP(A11,PAGESPEED_RAW[Page_ID],PAGESPEED_RAW[Test_Priority])</f>
        <v>P1 - Critical</v>
      </c>
      <c r="F11">
        <f>AVERAGEIFS(PAGESPEED_RAW[Performance],PAGESPEED_RAW[Page_ID],A11,PAGESPEED_RAW[Device],"mobile")</f>
        <v>57</v>
      </c>
      <c r="G11">
        <f>AVERAGEIFS(PAGESPEED_RAW[Performance],PAGESPEED_RAW[Page_ID],A11,PAGESPEED_RAW[Device],"desktop")</f>
        <v>77</v>
      </c>
      <c r="H11">
        <f t="shared" si="0"/>
        <v>20</v>
      </c>
      <c r="I11" s="14">
        <f>AVERAGEIFS(PAGESPEED_RAW[LCP],PAGESPEED_RAW[Page_ID],A11,PAGESPEED_RAW[Device],"mobile")</f>
        <v>18625.046512833273</v>
      </c>
      <c r="J11" s="14">
        <f>AVERAGEIFS(PAGESPEED_RAW[LCP],PAGESPEED_RAW[Page_ID],A11,PAGESPEED_RAW[Device],"desktop")</f>
        <v>2812.0199633722509</v>
      </c>
      <c r="K11" s="14">
        <f t="shared" si="1"/>
        <v>15813.026549461021</v>
      </c>
      <c r="L11" s="14">
        <f>AVERAGEIFS(PAGESPEED_RAW[FCP],PAGESPEED_RAW[Page_ID],A11,PAGESPEED_RAW[Device],"mobile")</f>
        <v>4432.0102938237524</v>
      </c>
      <c r="M11" s="14">
        <f>AVERAGEIFS(PAGESPEED_RAW[FCP],PAGESPEED_RAW[Page_ID],A11,PAGESPEED_RAW[Device],"desktop")</f>
        <v>823.70057427190466</v>
      </c>
      <c r="N11" s="14">
        <f>AVERAGEIFS(PAGESPEED_RAW[TBT],PAGESPEED_RAW[Page_ID],A11,PAGESPEED_RAW[Device],"mobile")</f>
        <v>0</v>
      </c>
      <c r="O11" s="15">
        <f>AVERAGEIFS(PAGESPEED_RAW[CLS],PAGESPEED_RAW[Page_ID],A11,PAGESPEED_RAW[Device],"mobile")</f>
        <v>0</v>
      </c>
      <c r="P11" t="str">
        <f t="shared" si="2"/>
        <v>Critical</v>
      </c>
      <c r="Q11" t="str">
        <f t="shared" si="3"/>
        <v>Slow LCP</v>
      </c>
      <c r="R11" t="str">
        <f t="shared" si="4"/>
        <v>Optimize images, reduce render blocking resources, improve server response time</v>
      </c>
      <c r="S11">
        <f t="shared" si="5"/>
        <v>2</v>
      </c>
      <c r="T11">
        <f t="shared" si="6"/>
        <v>3</v>
      </c>
      <c r="U11">
        <f t="shared" si="7"/>
        <v>1</v>
      </c>
      <c r="V11">
        <f t="shared" si="8"/>
        <v>2</v>
      </c>
      <c r="W11">
        <f t="shared" si="9"/>
        <v>8</v>
      </c>
      <c r="X11">
        <f t="shared" si="10"/>
        <v>5</v>
      </c>
      <c r="Y11" t="str">
        <f t="shared" si="11"/>
        <v>Priority Optimization</v>
      </c>
    </row>
    <row r="12" spans="1:25">
      <c r="A12" t="str">
        <v>P011</v>
      </c>
      <c r="B12" t="str">
        <f>_xlfn.XLOOKUP(A12,PAGESPEED_RAW[Page_ID],PAGESPEED_RAW[URL])</f>
        <v>https://pmb.widyatama.ac.id/biaya-kuliah-kelas-karyawan/</v>
      </c>
      <c r="C12" t="str">
        <f>_xlfn.XLOOKUP(A12,PAGESPEED_RAW[Page_ID],PAGESPEED_RAW[Final_Page_Type])</f>
        <v>Pricing</v>
      </c>
      <c r="D12" t="str">
        <f>_xlfn.XLOOKUP(A12,PAGESPEED_RAW[Page_ID],PAGESPEED_RAW[Speed_Test_Segment])</f>
        <v>Core PMB Website</v>
      </c>
      <c r="E12" t="str">
        <f>_xlfn.XLOOKUP(A12,PAGESPEED_RAW[Page_ID],PAGESPEED_RAW[Test_Priority])</f>
        <v>P1 - Critical</v>
      </c>
      <c r="F12">
        <f>AVERAGEIFS(PAGESPEED_RAW[Performance],PAGESPEED_RAW[Page_ID],A12,PAGESPEED_RAW[Device],"mobile")</f>
        <v>57</v>
      </c>
      <c r="G12">
        <f>AVERAGEIFS(PAGESPEED_RAW[Performance],PAGESPEED_RAW[Page_ID],A12,PAGESPEED_RAW[Device],"desktop")</f>
        <v>76</v>
      </c>
      <c r="H12">
        <f t="shared" si="0"/>
        <v>19</v>
      </c>
      <c r="I12" s="14">
        <f>AVERAGEIFS(PAGESPEED_RAW[LCP],PAGESPEED_RAW[Page_ID],A12,PAGESPEED_RAW[Device],"mobile")</f>
        <v>15032.530493463997</v>
      </c>
      <c r="J12" s="14">
        <f>AVERAGEIFS(PAGESPEED_RAW[LCP],PAGESPEED_RAW[Page_ID],A12,PAGESPEED_RAW[Device],"desktop")</f>
        <v>2401.0227401222583</v>
      </c>
      <c r="K12" s="14">
        <f t="shared" si="1"/>
        <v>12631.507753341739</v>
      </c>
      <c r="L12" s="14">
        <f>AVERAGEIFS(PAGESPEED_RAW[FCP],PAGESPEED_RAW[Page_ID],A12,PAGESPEED_RAW[Device],"mobile")</f>
        <v>4460.0084012604902</v>
      </c>
      <c r="M12" s="14">
        <f>AVERAGEIFS(PAGESPEED_RAW[FCP],PAGESPEED_RAW[Page_ID],A12,PAGESPEED_RAW[Device],"desktop")</f>
        <v>835.82410217955487</v>
      </c>
      <c r="N12" s="14">
        <f>AVERAGEIFS(PAGESPEED_RAW[TBT],PAGESPEED_RAW[Page_ID],A12,PAGESPEED_RAW[Device],"mobile")</f>
        <v>4</v>
      </c>
      <c r="O12" s="15">
        <f>AVERAGEIFS(PAGESPEED_RAW[CLS],PAGESPEED_RAW[Page_ID],A12,PAGESPEED_RAW[Device],"mobile")</f>
        <v>0</v>
      </c>
      <c r="P12" t="str">
        <f t="shared" si="2"/>
        <v>Critical</v>
      </c>
      <c r="Q12" t="str">
        <f t="shared" si="3"/>
        <v>Slow LCP</v>
      </c>
      <c r="R12" t="str">
        <f t="shared" si="4"/>
        <v>Optimize images, reduce render blocking resources, improve server response time</v>
      </c>
      <c r="S12">
        <f t="shared" si="5"/>
        <v>2</v>
      </c>
      <c r="T12">
        <f t="shared" si="6"/>
        <v>3</v>
      </c>
      <c r="U12">
        <f t="shared" si="7"/>
        <v>1</v>
      </c>
      <c r="V12">
        <f t="shared" si="8"/>
        <v>2</v>
      </c>
      <c r="W12">
        <f t="shared" si="9"/>
        <v>8</v>
      </c>
      <c r="X12">
        <f t="shared" si="10"/>
        <v>5</v>
      </c>
      <c r="Y12" t="str">
        <f t="shared" si="11"/>
        <v>Priority Optimization</v>
      </c>
    </row>
    <row r="13" spans="1:25">
      <c r="A13" t="str">
        <v>P012</v>
      </c>
      <c r="B13" t="str">
        <f>_xlfn.XLOOKUP(A13,PAGESPEED_RAW[Page_ID],PAGESPEED_RAW[URL])</f>
        <v>https://pmb.widyatama.ac.id/jurusan/</v>
      </c>
      <c r="C13" t="str">
        <f>_xlfn.XLOOKUP(A13,PAGESPEED_RAW[Page_ID],PAGESPEED_RAW[Final_Page_Type])</f>
        <v>Program</v>
      </c>
      <c r="D13" t="str">
        <f>_xlfn.XLOOKUP(A13,PAGESPEED_RAW[Page_ID],PAGESPEED_RAW[Speed_Test_Segment])</f>
        <v>Core PMB Website</v>
      </c>
      <c r="E13" t="str">
        <f>_xlfn.XLOOKUP(A13,PAGESPEED_RAW[Page_ID],PAGESPEED_RAW[Test_Priority])</f>
        <v>P1 - Critical</v>
      </c>
      <c r="F13">
        <f>AVERAGEIFS(PAGESPEED_RAW[Performance],PAGESPEED_RAW[Page_ID],A13,PAGESPEED_RAW[Device],"mobile")</f>
        <v>57</v>
      </c>
      <c r="G13">
        <f>AVERAGEIFS(PAGESPEED_RAW[Performance],PAGESPEED_RAW[Page_ID],A13,PAGESPEED_RAW[Device],"desktop")</f>
        <v>82</v>
      </c>
      <c r="H13">
        <f t="shared" si="0"/>
        <v>25</v>
      </c>
      <c r="I13" s="14">
        <f>AVERAGEIFS(PAGESPEED_RAW[LCP],PAGESPEED_RAW[Page_ID],A13,PAGESPEED_RAW[Device],"mobile")</f>
        <v>76222.392206839228</v>
      </c>
      <c r="J13" s="14">
        <f>AVERAGEIFS(PAGESPEED_RAW[LCP],PAGESPEED_RAW[Page_ID],A13,PAGESPEED_RAW[Device],"desktop")</f>
        <v>2175.0403084040781</v>
      </c>
      <c r="K13" s="14">
        <f t="shared" si="1"/>
        <v>74047.351898435154</v>
      </c>
      <c r="L13" s="14">
        <f>AVERAGEIFS(PAGESPEED_RAW[FCP],PAGESPEED_RAW[Page_ID],A13,PAGESPEED_RAW[Device],"mobile")</f>
        <v>4426.0209280329282</v>
      </c>
      <c r="M13" s="14">
        <f>AVERAGEIFS(PAGESPEED_RAW[FCP],PAGESPEED_RAW[Page_ID],A13,PAGESPEED_RAW[Device],"desktop")</f>
        <v>766.99268938146963</v>
      </c>
      <c r="N13" s="14">
        <f>AVERAGEIFS(PAGESPEED_RAW[TBT],PAGESPEED_RAW[Page_ID],A13,PAGESPEED_RAW[Device],"mobile")</f>
        <v>0</v>
      </c>
      <c r="O13" s="15">
        <f>AVERAGEIFS(PAGESPEED_RAW[CLS],PAGESPEED_RAW[Page_ID],A13,PAGESPEED_RAW[Device],"mobile")</f>
        <v>0</v>
      </c>
      <c r="P13" t="str">
        <f t="shared" si="2"/>
        <v>Critical</v>
      </c>
      <c r="Q13" t="str">
        <f t="shared" si="3"/>
        <v>Slow LCP</v>
      </c>
      <c r="R13" t="str">
        <f t="shared" si="4"/>
        <v>Optimize images, reduce render blocking resources, improve server response time</v>
      </c>
      <c r="S13">
        <f t="shared" si="5"/>
        <v>2</v>
      </c>
      <c r="T13">
        <f t="shared" si="6"/>
        <v>3</v>
      </c>
      <c r="U13">
        <f t="shared" si="7"/>
        <v>1</v>
      </c>
      <c r="V13">
        <f t="shared" si="8"/>
        <v>2</v>
      </c>
      <c r="W13">
        <f t="shared" si="9"/>
        <v>8</v>
      </c>
      <c r="X13">
        <f t="shared" si="10"/>
        <v>5</v>
      </c>
      <c r="Y13" t="str">
        <f t="shared" si="11"/>
        <v>Priority Optimization</v>
      </c>
    </row>
    <row r="14" spans="1:25">
      <c r="A14" t="str">
        <v>P013</v>
      </c>
      <c r="B14" t="str">
        <f>_xlfn.XLOOKUP(A14,PAGESPEED_RAW[Page_ID],PAGESPEED_RAW[URL])</f>
        <v>https://pmb.widyatama.ac.id/blog/</v>
      </c>
      <c r="C14" t="str">
        <f>_xlfn.XLOOKUP(A14,PAGESPEED_RAW[Page_ID],PAGESPEED_RAW[Final_Page_Type])</f>
        <v>Content</v>
      </c>
      <c r="D14" t="str">
        <f>_xlfn.XLOOKUP(A14,PAGESPEED_RAW[Page_ID],PAGESPEED_RAW[Speed_Test_Segment])</f>
        <v>Core PMB Website</v>
      </c>
      <c r="E14" t="str">
        <f>_xlfn.XLOOKUP(A14,PAGESPEED_RAW[Page_ID],PAGESPEED_RAW[Test_Priority])</f>
        <v>P3 - Standard</v>
      </c>
      <c r="F14">
        <f>AVERAGEIFS(PAGESPEED_RAW[Performance],PAGESPEED_RAW[Page_ID],A14,PAGESPEED_RAW[Device],"mobile")</f>
        <v>56</v>
      </c>
      <c r="G14">
        <f>AVERAGEIFS(PAGESPEED_RAW[Performance],PAGESPEED_RAW[Page_ID],A14,PAGESPEED_RAW[Device],"desktop")</f>
        <v>75</v>
      </c>
      <c r="H14">
        <f t="shared" si="0"/>
        <v>19</v>
      </c>
      <c r="I14" s="14">
        <f>AVERAGEIFS(PAGESPEED_RAW[LCP],PAGESPEED_RAW[Page_ID],A14,PAGESPEED_RAW[Device],"mobile")</f>
        <v>18233.10020793002</v>
      </c>
      <c r="J14" s="14">
        <f>AVERAGEIFS(PAGESPEED_RAW[LCP],PAGESPEED_RAW[Page_ID],A14,PAGESPEED_RAW[Device],"desktop")</f>
        <v>2761.0539481929418</v>
      </c>
      <c r="K14" s="14">
        <f t="shared" si="1"/>
        <v>15472.046259737079</v>
      </c>
      <c r="L14" s="14">
        <f>AVERAGEIFS(PAGESPEED_RAW[FCP],PAGESPEED_RAW[Page_ID],A14,PAGESPEED_RAW[Device],"mobile")</f>
        <v>7201.038573763858</v>
      </c>
      <c r="M14" s="14">
        <f>AVERAGEIFS(PAGESPEED_RAW[FCP],PAGESPEED_RAW[Page_ID],A14,PAGESPEED_RAW[Device],"desktop")</f>
        <v>1281.0241559072879</v>
      </c>
      <c r="N14" s="14">
        <f>AVERAGEIFS(PAGESPEED_RAW[TBT],PAGESPEED_RAW[Page_ID],A14,PAGESPEED_RAW[Device],"mobile")</f>
        <v>0</v>
      </c>
      <c r="O14" s="15">
        <f>AVERAGEIFS(PAGESPEED_RAW[CLS],PAGESPEED_RAW[Page_ID],A14,PAGESPEED_RAW[Device],"mobile")</f>
        <v>0</v>
      </c>
      <c r="P14" t="str">
        <f t="shared" si="2"/>
        <v>Critical</v>
      </c>
      <c r="Q14" t="str">
        <f t="shared" si="3"/>
        <v>Slow LCP</v>
      </c>
      <c r="R14" t="str">
        <f t="shared" si="4"/>
        <v>Optimize images, reduce render blocking resources, improve server response time</v>
      </c>
      <c r="S14">
        <f t="shared" si="5"/>
        <v>2</v>
      </c>
      <c r="T14">
        <f t="shared" si="6"/>
        <v>3</v>
      </c>
      <c r="U14">
        <f t="shared" si="7"/>
        <v>1</v>
      </c>
      <c r="V14">
        <f t="shared" si="8"/>
        <v>2</v>
      </c>
      <c r="W14">
        <f t="shared" si="9"/>
        <v>8</v>
      </c>
      <c r="X14">
        <f t="shared" si="10"/>
        <v>5</v>
      </c>
      <c r="Y14" t="str">
        <f t="shared" si="11"/>
        <v>Priority Optimization</v>
      </c>
    </row>
    <row r="15" spans="1:25">
      <c r="A15" t="str">
        <v>P014</v>
      </c>
      <c r="B15" t="str">
        <f>_xlfn.XLOOKUP(A15,PAGESPEED_RAW[Page_ID],PAGESPEED_RAW[URL])</f>
        <v>https://pmb.widyatama.ac.id/biaya-kuliah-kelas-reguler/</v>
      </c>
      <c r="C15" t="str">
        <f>_xlfn.XLOOKUP(A15,PAGESPEED_RAW[Page_ID],PAGESPEED_RAW[Final_Page_Type])</f>
        <v>Pricing</v>
      </c>
      <c r="D15" t="str">
        <f>_xlfn.XLOOKUP(A15,PAGESPEED_RAW[Page_ID],PAGESPEED_RAW[Speed_Test_Segment])</f>
        <v>Core PMB Website</v>
      </c>
      <c r="E15" t="str">
        <f>_xlfn.XLOOKUP(A15,PAGESPEED_RAW[Page_ID],PAGESPEED_RAW[Test_Priority])</f>
        <v>P1 - Critical</v>
      </c>
      <c r="F15">
        <f>AVERAGEIFS(PAGESPEED_RAW[Performance],PAGESPEED_RAW[Page_ID],A15,PAGESPEED_RAW[Device],"mobile")</f>
        <v>57</v>
      </c>
      <c r="G15">
        <f>AVERAGEIFS(PAGESPEED_RAW[Performance],PAGESPEED_RAW[Page_ID],A15,PAGESPEED_RAW[Device],"desktop")</f>
        <v>82</v>
      </c>
      <c r="H15">
        <f t="shared" si="0"/>
        <v>25</v>
      </c>
      <c r="I15" s="14">
        <f>AVERAGEIFS(PAGESPEED_RAW[LCP],PAGESPEED_RAW[Page_ID],A15,PAGESPEED_RAW[Device],"mobile")</f>
        <v>15020.040745094633</v>
      </c>
      <c r="J15" s="14">
        <f>AVERAGEIFS(PAGESPEED_RAW[LCP],PAGESPEED_RAW[Page_ID],A15,PAGESPEED_RAW[Device],"desktop")</f>
        <v>2141.0195106297788</v>
      </c>
      <c r="K15" s="14">
        <f t="shared" si="1"/>
        <v>12879.021234464853</v>
      </c>
      <c r="L15" s="14">
        <f>AVERAGEIFS(PAGESPEED_RAW[FCP],PAGESPEED_RAW[Page_ID],A15,PAGESPEED_RAW[Device],"mobile")</f>
        <v>4421.0112256893381</v>
      </c>
      <c r="M15" s="14">
        <f>AVERAGEIFS(PAGESPEED_RAW[FCP],PAGESPEED_RAW[Page_ID],A15,PAGESPEED_RAW[Device],"desktop")</f>
        <v>771.00606155488288</v>
      </c>
      <c r="N15" s="14">
        <f>AVERAGEIFS(PAGESPEED_RAW[TBT],PAGESPEED_RAW[Page_ID],A15,PAGESPEED_RAW[Device],"mobile")</f>
        <v>27</v>
      </c>
      <c r="O15" s="15">
        <f>AVERAGEIFS(PAGESPEED_RAW[CLS],PAGESPEED_RAW[Page_ID],A15,PAGESPEED_RAW[Device],"mobile")</f>
        <v>0</v>
      </c>
      <c r="P15" t="str">
        <f t="shared" si="2"/>
        <v>Critical</v>
      </c>
      <c r="Q15" t="str">
        <f t="shared" si="3"/>
        <v>Slow LCP</v>
      </c>
      <c r="R15" t="str">
        <f t="shared" si="4"/>
        <v>Optimize images, reduce render blocking resources, improve server response time</v>
      </c>
      <c r="S15">
        <f t="shared" si="5"/>
        <v>2</v>
      </c>
      <c r="T15">
        <f t="shared" si="6"/>
        <v>3</v>
      </c>
      <c r="U15">
        <f t="shared" si="7"/>
        <v>1</v>
      </c>
      <c r="V15">
        <f t="shared" si="8"/>
        <v>2</v>
      </c>
      <c r="W15">
        <f t="shared" si="9"/>
        <v>8</v>
      </c>
      <c r="X15">
        <f t="shared" si="10"/>
        <v>5</v>
      </c>
      <c r="Y15" t="str">
        <f t="shared" si="11"/>
        <v>Priority Optimization</v>
      </c>
    </row>
    <row r="16" spans="1:25">
      <c r="A16" t="str">
        <v>P015</v>
      </c>
      <c r="B16" t="str">
        <f>_xlfn.XLOOKUP(A16,PAGESPEED_RAW[Page_ID],PAGESPEED_RAW[URL])</f>
        <v>https://online.pmb.widyatama.ac.id/</v>
      </c>
      <c r="C16" t="str">
        <f>_xlfn.XLOOKUP(A16,PAGESPEED_RAW[Page_ID],PAGESPEED_RAW[Final_Page_Type])</f>
        <v>Registration System</v>
      </c>
      <c r="D16" t="str">
        <f>_xlfn.XLOOKUP(A16,PAGESPEED_RAW[Page_ID],PAGESPEED_RAW[Speed_Test_Segment])</f>
        <v>Registration System</v>
      </c>
      <c r="E16" t="str">
        <f>_xlfn.XLOOKUP(A16,PAGESPEED_RAW[Page_ID],PAGESPEED_RAW[Test_Priority])</f>
        <v>P1 - Critical</v>
      </c>
      <c r="F16">
        <f>AVERAGEIFS(PAGESPEED_RAW[Performance],PAGESPEED_RAW[Page_ID],A16,PAGESPEED_RAW[Device],"mobile")</f>
        <v>79</v>
      </c>
      <c r="G16">
        <f>AVERAGEIFS(PAGESPEED_RAW[Performance],PAGESPEED_RAW[Page_ID],A16,PAGESPEED_RAW[Device],"desktop")</f>
        <v>76</v>
      </c>
      <c r="H16">
        <f t="shared" si="0"/>
        <v>-3</v>
      </c>
      <c r="I16" s="14">
        <f>AVERAGEIFS(PAGESPEED_RAW[LCP],PAGESPEED_RAW[Page_ID],A16,PAGESPEED_RAW[Device],"mobile")</f>
        <v>2276.6889731759779</v>
      </c>
      <c r="J16" s="14">
        <f>AVERAGEIFS(PAGESPEED_RAW[LCP],PAGESPEED_RAW[Page_ID],A16,PAGESPEED_RAW[Device],"desktop")</f>
        <v>632.99193930826505</v>
      </c>
      <c r="K16" s="14">
        <f t="shared" si="1"/>
        <v>1643.6970338677129</v>
      </c>
      <c r="L16" s="14">
        <f>AVERAGEIFS(PAGESPEED_RAW[FCP],PAGESPEED_RAW[Page_ID],A16,PAGESPEED_RAW[Device],"mobile")</f>
        <v>1809.9915178276754</v>
      </c>
      <c r="M16" s="14">
        <f>AVERAGEIFS(PAGESPEED_RAW[FCP],PAGESPEED_RAW[Page_ID],A16,PAGESPEED_RAW[Device],"desktop")</f>
        <v>433.11892358495908</v>
      </c>
      <c r="N16" s="14">
        <f>AVERAGEIFS(PAGESPEED_RAW[TBT],PAGESPEED_RAW[Page_ID],A16,PAGESPEED_RAW[Device],"mobile")</f>
        <v>725</v>
      </c>
      <c r="O16" s="15">
        <f>AVERAGEIFS(PAGESPEED_RAW[CLS],PAGESPEED_RAW[Page_ID],A16,PAGESPEED_RAW[Device],"mobile")</f>
        <v>0</v>
      </c>
      <c r="P16" t="str">
        <f t="shared" si="2"/>
        <v>Critical</v>
      </c>
      <c r="Q16" t="str">
        <f t="shared" si="3"/>
        <v>High JavaScript Blocking</v>
      </c>
      <c r="R16" t="str">
        <f t="shared" si="4"/>
        <v>Reduce unused JavaScript, defer scripts, optimize third-party code</v>
      </c>
      <c r="S16">
        <f t="shared" si="5"/>
        <v>1</v>
      </c>
      <c r="T16">
        <f t="shared" si="6"/>
        <v>1</v>
      </c>
      <c r="U16">
        <f t="shared" si="7"/>
        <v>3</v>
      </c>
      <c r="V16">
        <f t="shared" si="8"/>
        <v>1</v>
      </c>
      <c r="W16">
        <f t="shared" si="9"/>
        <v>6</v>
      </c>
      <c r="X16">
        <f t="shared" si="10"/>
        <v>79</v>
      </c>
      <c r="Y16" t="str">
        <f t="shared" si="11"/>
        <v>Routine Optimization</v>
      </c>
    </row>
    <row r="17" spans="1:25">
      <c r="A17" t="str">
        <v>P016</v>
      </c>
      <c r="B17" t="str">
        <f>_xlfn.XLOOKUP(A17,PAGESPEED_RAW[Page_ID],PAGESPEED_RAW[URL])</f>
        <v>https://pmb.widyatama.ac.id/aktivitas-civitas/</v>
      </c>
      <c r="C17" t="str">
        <f>_xlfn.XLOOKUP(A17,PAGESPEED_RAW[Page_ID],PAGESPEED_RAW[Final_Page_Type])</f>
        <v>Campus Life</v>
      </c>
      <c r="D17" t="str">
        <f>_xlfn.XLOOKUP(A17,PAGESPEED_RAW[Page_ID],PAGESPEED_RAW[Speed_Test_Segment])</f>
        <v>Core PMB Website</v>
      </c>
      <c r="E17" t="str">
        <f>_xlfn.XLOOKUP(A17,PAGESPEED_RAW[Page_ID],PAGESPEED_RAW[Test_Priority])</f>
        <v>P2 - High</v>
      </c>
      <c r="F17">
        <f>AVERAGEIFS(PAGESPEED_RAW[Performance],PAGESPEED_RAW[Page_ID],A17,PAGESPEED_RAW[Device],"mobile")</f>
        <v>56</v>
      </c>
      <c r="G17">
        <f>AVERAGEIFS(PAGESPEED_RAW[Performance],PAGESPEED_RAW[Page_ID],A17,PAGESPEED_RAW[Device],"desktop")</f>
        <v>73</v>
      </c>
      <c r="H17">
        <f t="shared" si="0"/>
        <v>17</v>
      </c>
      <c r="I17" s="14">
        <f>AVERAGEIFS(PAGESPEED_RAW[LCP],PAGESPEED_RAW[Page_ID],A17,PAGESPEED_RAW[Device],"mobile")</f>
        <v>19742.111271683159</v>
      </c>
      <c r="J17" s="14">
        <f>AVERAGEIFS(PAGESPEED_RAW[LCP],PAGESPEED_RAW[Page_ID],A17,PAGESPEED_RAW[Device],"desktop")</f>
        <v>3081.034242898967</v>
      </c>
      <c r="K17" s="14">
        <f t="shared" si="1"/>
        <v>16661.077028784191</v>
      </c>
      <c r="L17" s="14">
        <f>AVERAGEIFS(PAGESPEED_RAW[FCP],PAGESPEED_RAW[Page_ID],A17,PAGESPEED_RAW[Device],"mobile")</f>
        <v>7051.0386658358493</v>
      </c>
      <c r="M17" s="14">
        <f>AVERAGEIFS(PAGESPEED_RAW[FCP],PAGESPEED_RAW[Page_ID],A17,PAGESPEED_RAW[Device],"desktop")</f>
        <v>1241.0132405876002</v>
      </c>
      <c r="N17" s="14">
        <f>AVERAGEIFS(PAGESPEED_RAW[TBT],PAGESPEED_RAW[Page_ID],A17,PAGESPEED_RAW[Device],"mobile")</f>
        <v>9</v>
      </c>
      <c r="O17" s="15">
        <f>AVERAGEIFS(PAGESPEED_RAW[CLS],PAGESPEED_RAW[Page_ID],A17,PAGESPEED_RAW[Device],"mobile")</f>
        <v>0</v>
      </c>
      <c r="P17" t="str">
        <f t="shared" si="2"/>
        <v>Critical</v>
      </c>
      <c r="Q17" t="str">
        <f t="shared" si="3"/>
        <v>Slow LCP</v>
      </c>
      <c r="R17" t="str">
        <f t="shared" si="4"/>
        <v>Optimize images, reduce render blocking resources, improve server response time</v>
      </c>
      <c r="S17">
        <f t="shared" si="5"/>
        <v>2</v>
      </c>
      <c r="T17">
        <f t="shared" si="6"/>
        <v>3</v>
      </c>
      <c r="U17">
        <f t="shared" si="7"/>
        <v>1</v>
      </c>
      <c r="V17">
        <f t="shared" si="8"/>
        <v>2</v>
      </c>
      <c r="W17">
        <f t="shared" si="9"/>
        <v>8</v>
      </c>
      <c r="X17">
        <f t="shared" si="10"/>
        <v>5</v>
      </c>
      <c r="Y17" t="str">
        <f t="shared" si="11"/>
        <v>Priority Optimization</v>
      </c>
    </row>
    <row r="18" spans="1:25">
      <c r="A18" t="str">
        <v>P017</v>
      </c>
      <c r="B18" t="str">
        <f>_xlfn.XLOOKUP(A18,PAGESPEED_RAW[Page_ID],PAGESPEED_RAW[URL])</f>
        <v>https://pmb.widyatama.ac.id/program-pascasarjana/</v>
      </c>
      <c r="C18" t="str">
        <f>_xlfn.XLOOKUP(A18,PAGESPEED_RAW[Page_ID],PAGESPEED_RAW[Final_Page_Type])</f>
        <v>Program</v>
      </c>
      <c r="D18" t="str">
        <f>_xlfn.XLOOKUP(A18,PAGESPEED_RAW[Page_ID],PAGESPEED_RAW[Speed_Test_Segment])</f>
        <v>Core PMB Website</v>
      </c>
      <c r="E18" t="str">
        <f>_xlfn.XLOOKUP(A18,PAGESPEED_RAW[Page_ID],PAGESPEED_RAW[Test_Priority])</f>
        <v>P1 - Critical</v>
      </c>
      <c r="F18">
        <f>AVERAGEIFS(PAGESPEED_RAW[Performance],PAGESPEED_RAW[Page_ID],A18,PAGESPEED_RAW[Device],"mobile")</f>
        <v>59</v>
      </c>
      <c r="G18">
        <f>AVERAGEIFS(PAGESPEED_RAW[Performance],PAGESPEED_RAW[Page_ID],A18,PAGESPEED_RAW[Device],"desktop")</f>
        <v>83</v>
      </c>
      <c r="H18">
        <f t="shared" si="0"/>
        <v>24</v>
      </c>
      <c r="I18" s="14">
        <f>AVERAGEIFS(PAGESPEED_RAW[LCP],PAGESPEED_RAW[Page_ID],A18,PAGESPEED_RAW[Device],"mobile")</f>
        <v>11851.034639884352</v>
      </c>
      <c r="J18" s="14">
        <f>AVERAGEIFS(PAGESPEED_RAW[LCP],PAGESPEED_RAW[Page_ID],A18,PAGESPEED_RAW[Device],"desktop")</f>
        <v>2039.0270275857638</v>
      </c>
      <c r="K18" s="14">
        <f t="shared" si="1"/>
        <v>9812.0076122985884</v>
      </c>
      <c r="L18" s="14">
        <f>AVERAGEIFS(PAGESPEED_RAW[FCP],PAGESPEED_RAW[Page_ID],A18,PAGESPEED_RAW[Device],"mobile")</f>
        <v>3640.009897109815</v>
      </c>
      <c r="M18" s="14">
        <f>AVERAGEIFS(PAGESPEED_RAW[FCP],PAGESPEED_RAW[Page_ID],A18,PAGESPEED_RAW[Device],"desktop")</f>
        <v>794.70102840652305</v>
      </c>
      <c r="N18" s="14">
        <f>AVERAGEIFS(PAGESPEED_RAW[TBT],PAGESPEED_RAW[Page_ID],A18,PAGESPEED_RAW[Device],"mobile")</f>
        <v>79</v>
      </c>
      <c r="O18" s="15">
        <f>AVERAGEIFS(PAGESPEED_RAW[CLS],PAGESPEED_RAW[Page_ID],A18,PAGESPEED_RAW[Device],"mobile")</f>
        <v>0</v>
      </c>
      <c r="P18" t="str">
        <f t="shared" si="2"/>
        <v>Critical</v>
      </c>
      <c r="Q18" t="str">
        <f t="shared" si="3"/>
        <v>Slow LCP</v>
      </c>
      <c r="R18" t="str">
        <f t="shared" si="4"/>
        <v>Optimize images, reduce render blocking resources, improve server response time</v>
      </c>
      <c r="S18">
        <f t="shared" si="5"/>
        <v>2</v>
      </c>
      <c r="T18">
        <f t="shared" si="6"/>
        <v>2</v>
      </c>
      <c r="U18">
        <f t="shared" si="7"/>
        <v>1</v>
      </c>
      <c r="V18">
        <f t="shared" si="8"/>
        <v>2</v>
      </c>
      <c r="W18">
        <f t="shared" si="9"/>
        <v>7</v>
      </c>
      <c r="X18">
        <f t="shared" si="10"/>
        <v>44</v>
      </c>
      <c r="Y18" t="str">
        <f t="shared" si="11"/>
        <v>Priority Optimization</v>
      </c>
    </row>
    <row r="19" spans="1:25">
      <c r="A19" t="str">
        <v>P018</v>
      </c>
      <c r="B19" t="str">
        <f>_xlfn.XLOOKUP(A19,PAGESPEED_RAW[Page_ID],PAGESPEED_RAW[URL])</f>
        <v>https://pmb.widyatama.ac.id/cek-jalur-pendaftaran/</v>
      </c>
      <c r="C19" t="str">
        <f>_xlfn.XLOOKUP(A19,PAGESPEED_RAW[Page_ID],PAGESPEED_RAW[Final_Page_Type])</f>
        <v>Admission</v>
      </c>
      <c r="D19" t="str">
        <f>_xlfn.XLOOKUP(A19,PAGESPEED_RAW[Page_ID],PAGESPEED_RAW[Speed_Test_Segment])</f>
        <v>Core PMB Website</v>
      </c>
      <c r="E19" t="str">
        <f>_xlfn.XLOOKUP(A19,PAGESPEED_RAW[Page_ID],PAGESPEED_RAW[Test_Priority])</f>
        <v>P1 - Critical</v>
      </c>
      <c r="F19">
        <f>AVERAGEIFS(PAGESPEED_RAW[Performance],PAGESPEED_RAW[Page_ID],A19,PAGESPEED_RAW[Device],"mobile")</f>
        <v>58</v>
      </c>
      <c r="G19">
        <f>AVERAGEIFS(PAGESPEED_RAW[Performance],PAGESPEED_RAW[Page_ID],A19,PAGESPEED_RAW[Device],"desktop")</f>
        <v>91</v>
      </c>
      <c r="H19">
        <f t="shared" si="0"/>
        <v>33</v>
      </c>
      <c r="I19" s="14">
        <f>AVERAGEIFS(PAGESPEED_RAW[LCP],PAGESPEED_RAW[Page_ID],A19,PAGESPEED_RAW[Device],"mobile")</f>
        <v>8958.524316926545</v>
      </c>
      <c r="J19" s="14">
        <f>AVERAGEIFS(PAGESPEED_RAW[LCP],PAGESPEED_RAW[Page_ID],A19,PAGESPEED_RAW[Device],"desktop")</f>
        <v>1180.6988456527733</v>
      </c>
      <c r="K19" s="14">
        <f t="shared" si="1"/>
        <v>7777.8254712737717</v>
      </c>
      <c r="L19" s="14">
        <f>AVERAGEIFS(PAGESPEED_RAW[FCP],PAGESPEED_RAW[Page_ID],A19,PAGESPEED_RAW[Device],"mobile")</f>
        <v>4456.011418382901</v>
      </c>
      <c r="M19" s="14">
        <f>AVERAGEIFS(PAGESPEED_RAW[FCP],PAGESPEED_RAW[Page_ID],A19,PAGESPEED_RAW[Device],"desktop")</f>
        <v>766.12627920922068</v>
      </c>
      <c r="N19" s="14">
        <f>AVERAGEIFS(PAGESPEED_RAW[TBT],PAGESPEED_RAW[Page_ID],A19,PAGESPEED_RAW[Device],"mobile")</f>
        <v>29</v>
      </c>
      <c r="O19" s="15">
        <f>AVERAGEIFS(PAGESPEED_RAW[CLS],PAGESPEED_RAW[Page_ID],A19,PAGESPEED_RAW[Device],"mobile")</f>
        <v>0</v>
      </c>
      <c r="P19" t="str">
        <f t="shared" si="2"/>
        <v>Critical</v>
      </c>
      <c r="Q19" t="str">
        <f t="shared" si="3"/>
        <v>Slow LCP</v>
      </c>
      <c r="R19" t="str">
        <f t="shared" si="4"/>
        <v>Optimize images, reduce render blocking resources, improve server response time</v>
      </c>
      <c r="S19">
        <f t="shared" si="5"/>
        <v>2</v>
      </c>
      <c r="T19">
        <f t="shared" si="6"/>
        <v>2</v>
      </c>
      <c r="U19">
        <f t="shared" si="7"/>
        <v>1</v>
      </c>
      <c r="V19">
        <f t="shared" si="8"/>
        <v>3</v>
      </c>
      <c r="W19">
        <f t="shared" si="9"/>
        <v>8</v>
      </c>
      <c r="X19">
        <f t="shared" si="10"/>
        <v>5</v>
      </c>
      <c r="Y19" t="str">
        <f t="shared" si="11"/>
        <v>Priority Optimization</v>
      </c>
    </row>
    <row r="20" spans="1:25">
      <c r="A20" t="str">
        <v>P019</v>
      </c>
      <c r="B20" t="str">
        <f>_xlfn.XLOOKUP(A20,PAGESPEED_RAW[Page_ID],PAGESPEED_RAW[URL])</f>
        <v>https://pmb.widyatama.ac.id/program-reguler/</v>
      </c>
      <c r="C20" t="str">
        <f>_xlfn.XLOOKUP(A20,PAGESPEED_RAW[Page_ID],PAGESPEED_RAW[Final_Page_Type])</f>
        <v>Program</v>
      </c>
      <c r="D20" t="str">
        <f>_xlfn.XLOOKUP(A20,PAGESPEED_RAW[Page_ID],PAGESPEED_RAW[Speed_Test_Segment])</f>
        <v>Core PMB Website</v>
      </c>
      <c r="E20" t="str">
        <f>_xlfn.XLOOKUP(A20,PAGESPEED_RAW[Page_ID],PAGESPEED_RAW[Test_Priority])</f>
        <v>P1 - Critical</v>
      </c>
      <c r="F20">
        <f>AVERAGEIFS(PAGESPEED_RAW[Performance],PAGESPEED_RAW[Page_ID],A20,PAGESPEED_RAW[Device],"mobile")</f>
        <v>57</v>
      </c>
      <c r="G20">
        <f>AVERAGEIFS(PAGESPEED_RAW[Performance],PAGESPEED_RAW[Page_ID],A20,PAGESPEED_RAW[Device],"desktop")</f>
        <v>77</v>
      </c>
      <c r="H20">
        <f t="shared" si="0"/>
        <v>20</v>
      </c>
      <c r="I20" s="14">
        <f>AVERAGEIFS(PAGESPEED_RAW[LCP],PAGESPEED_RAW[Page_ID],A20,PAGESPEED_RAW[Device],"mobile")</f>
        <v>17356.576910499745</v>
      </c>
      <c r="J20" s="14">
        <f>AVERAGEIFS(PAGESPEED_RAW[LCP],PAGESPEED_RAW[Page_ID],A20,PAGESPEED_RAW[Device],"desktop")</f>
        <v>2641.0482604276408</v>
      </c>
      <c r="K20" s="14">
        <f t="shared" si="1"/>
        <v>14715.528650072105</v>
      </c>
      <c r="L20" s="14">
        <f>AVERAGEIFS(PAGESPEED_RAW[FCP],PAGESPEED_RAW[Page_ID],A20,PAGESPEED_RAW[Device],"mobile")</f>
        <v>4449.0182958898058</v>
      </c>
      <c r="M20" s="14">
        <f>AVERAGEIFS(PAGESPEED_RAW[FCP],PAGESPEED_RAW[Page_ID],A20,PAGESPEED_RAW[Device],"desktop")</f>
        <v>805.20265470149866</v>
      </c>
      <c r="N20" s="14">
        <f>AVERAGEIFS(PAGESPEED_RAW[TBT],PAGESPEED_RAW[Page_ID],A20,PAGESPEED_RAW[Device],"mobile")</f>
        <v>8</v>
      </c>
      <c r="O20" s="15">
        <f>AVERAGEIFS(PAGESPEED_RAW[CLS],PAGESPEED_RAW[Page_ID],A20,PAGESPEED_RAW[Device],"mobile")</f>
        <v>0</v>
      </c>
      <c r="P20" t="str">
        <f t="shared" si="2"/>
        <v>Critical</v>
      </c>
      <c r="Q20" t="str">
        <f t="shared" si="3"/>
        <v>Slow LCP</v>
      </c>
      <c r="R20" t="str">
        <f t="shared" si="4"/>
        <v>Optimize images, reduce render blocking resources, improve server response time</v>
      </c>
      <c r="S20">
        <f t="shared" si="5"/>
        <v>2</v>
      </c>
      <c r="T20">
        <f t="shared" si="6"/>
        <v>3</v>
      </c>
      <c r="U20">
        <f t="shared" si="7"/>
        <v>1</v>
      </c>
      <c r="V20">
        <f t="shared" si="8"/>
        <v>2</v>
      </c>
      <c r="W20">
        <f t="shared" si="9"/>
        <v>8</v>
      </c>
      <c r="X20">
        <f t="shared" si="10"/>
        <v>5</v>
      </c>
      <c r="Y20" t="str">
        <f t="shared" si="11"/>
        <v>Priority Optimization</v>
      </c>
    </row>
    <row r="21" spans="1:25">
      <c r="A21" t="str">
        <v>P020</v>
      </c>
      <c r="B21" t="str">
        <f>_xlfn.XLOOKUP(A21,PAGESPEED_RAW[Page_ID],PAGESPEED_RAW[URL])</f>
        <v>https://pmb.widyatama.ac.id/program-kelas-karyawan/</v>
      </c>
      <c r="C21" t="str">
        <f>_xlfn.XLOOKUP(A21,PAGESPEED_RAW[Page_ID],PAGESPEED_RAW[Final_Page_Type])</f>
        <v>Program</v>
      </c>
      <c r="D21" t="str">
        <f>_xlfn.XLOOKUP(A21,PAGESPEED_RAW[Page_ID],PAGESPEED_RAW[Speed_Test_Segment])</f>
        <v>Core PMB Website</v>
      </c>
      <c r="E21" t="str">
        <f>_xlfn.XLOOKUP(A21,PAGESPEED_RAW[Page_ID],PAGESPEED_RAW[Test_Priority])</f>
        <v>P1 - Critical</v>
      </c>
      <c r="F21">
        <f>AVERAGEIFS(PAGESPEED_RAW[Performance],PAGESPEED_RAW[Page_ID],A21,PAGESPEED_RAW[Device],"mobile")</f>
        <v>57</v>
      </c>
      <c r="G21">
        <f>AVERAGEIFS(PAGESPEED_RAW[Performance],PAGESPEED_RAW[Page_ID],A21,PAGESPEED_RAW[Device],"desktop")</f>
        <v>79</v>
      </c>
      <c r="H21">
        <f t="shared" si="0"/>
        <v>22</v>
      </c>
      <c r="I21" s="14">
        <f>AVERAGEIFS(PAGESPEED_RAW[LCP],PAGESPEED_RAW[Page_ID],A21,PAGESPEED_RAW[Device],"mobile")</f>
        <v>15322.559682861611</v>
      </c>
      <c r="J21" s="14">
        <f>AVERAGEIFS(PAGESPEED_RAW[LCP],PAGESPEED_RAW[Page_ID],A21,PAGESPEED_RAW[Device],"desktop")</f>
        <v>2321.0605504360656</v>
      </c>
      <c r="K21" s="14">
        <f t="shared" si="1"/>
        <v>13001.499132425546</v>
      </c>
      <c r="L21" s="14">
        <f>AVERAGEIFS(PAGESPEED_RAW[FCP],PAGESPEED_RAW[Page_ID],A21,PAGESPEED_RAW[Device],"mobile")</f>
        <v>4425.0161143726345</v>
      </c>
      <c r="M21" s="14">
        <f>AVERAGEIFS(PAGESPEED_RAW[FCP],PAGESPEED_RAW[Page_ID],A21,PAGESPEED_RAW[Device],"desktop")</f>
        <v>814.01838138237679</v>
      </c>
      <c r="N21" s="14">
        <f>AVERAGEIFS(PAGESPEED_RAW[TBT],PAGESPEED_RAW[Page_ID],A21,PAGESPEED_RAW[Device],"mobile")</f>
        <v>0</v>
      </c>
      <c r="O21" s="15">
        <f>AVERAGEIFS(PAGESPEED_RAW[CLS],PAGESPEED_RAW[Page_ID],A21,PAGESPEED_RAW[Device],"mobile")</f>
        <v>0</v>
      </c>
      <c r="P21" t="str">
        <f t="shared" si="2"/>
        <v>Critical</v>
      </c>
      <c r="Q21" t="str">
        <f t="shared" si="3"/>
        <v>Slow LCP</v>
      </c>
      <c r="R21" t="str">
        <f t="shared" si="4"/>
        <v>Optimize images, reduce render blocking resources, improve server response time</v>
      </c>
      <c r="S21">
        <f t="shared" si="5"/>
        <v>2</v>
      </c>
      <c r="T21">
        <f t="shared" si="6"/>
        <v>3</v>
      </c>
      <c r="U21">
        <f t="shared" si="7"/>
        <v>1</v>
      </c>
      <c r="V21">
        <f t="shared" si="8"/>
        <v>2</v>
      </c>
      <c r="W21">
        <f t="shared" si="9"/>
        <v>8</v>
      </c>
      <c r="X21">
        <f t="shared" si="10"/>
        <v>5</v>
      </c>
      <c r="Y21" t="str">
        <f t="shared" si="11"/>
        <v>Priority Optimization</v>
      </c>
    </row>
    <row r="22" spans="1:25">
      <c r="A22" t="str">
        <v>P021</v>
      </c>
      <c r="B22" t="str">
        <f>_xlfn.XLOOKUP(A22,PAGESPEED_RAW[Page_ID],PAGESPEED_RAW[URL])</f>
        <v>https://pmb.widyatama.ac.id/fasilitas/</v>
      </c>
      <c r="C22" t="str">
        <f>_xlfn.XLOOKUP(A22,PAGESPEED_RAW[Page_ID],PAGESPEED_RAW[Final_Page_Type])</f>
        <v>Campus Life</v>
      </c>
      <c r="D22" t="str">
        <f>_xlfn.XLOOKUP(A22,PAGESPEED_RAW[Page_ID],PAGESPEED_RAW[Speed_Test_Segment])</f>
        <v>Core PMB Website</v>
      </c>
      <c r="E22" t="str">
        <f>_xlfn.XLOOKUP(A22,PAGESPEED_RAW[Page_ID],PAGESPEED_RAW[Test_Priority])</f>
        <v>P2 - High</v>
      </c>
      <c r="F22">
        <f>AVERAGEIFS(PAGESPEED_RAW[Performance],PAGESPEED_RAW[Page_ID],A22,PAGESPEED_RAW[Device],"mobile")</f>
        <v>58</v>
      </c>
      <c r="G22">
        <f>AVERAGEIFS(PAGESPEED_RAW[Performance],PAGESPEED_RAW[Page_ID],A22,PAGESPEED_RAW[Device],"desktop")</f>
        <v>86</v>
      </c>
      <c r="H22">
        <f t="shared" si="0"/>
        <v>28</v>
      </c>
      <c r="I22" s="14">
        <f>AVERAGEIFS(PAGESPEED_RAW[LCP],PAGESPEED_RAW[Page_ID],A22,PAGESPEED_RAW[Device],"mobile")</f>
        <v>69447.714275052422</v>
      </c>
      <c r="J22" s="14">
        <f>AVERAGEIFS(PAGESPEED_RAW[LCP],PAGESPEED_RAW[Page_ID],A22,PAGESPEED_RAW[Device],"desktop")</f>
        <v>1722.0535624504055</v>
      </c>
      <c r="K22" s="14">
        <f t="shared" si="1"/>
        <v>67725.66071260201</v>
      </c>
      <c r="L22" s="14">
        <f>AVERAGEIFS(PAGESPEED_RAW[FCP],PAGESPEED_RAW[Page_ID],A22,PAGESPEED_RAW[Device],"mobile")</f>
        <v>4437.0125633581238</v>
      </c>
      <c r="M22" s="14">
        <f>AVERAGEIFS(PAGESPEED_RAW[FCP],PAGESPEED_RAW[Page_ID],A22,PAGESPEED_RAW[Device],"desktop")</f>
        <v>766.20452383188763</v>
      </c>
      <c r="N22" s="14">
        <f>AVERAGEIFS(PAGESPEED_RAW[TBT],PAGESPEED_RAW[Page_ID],A22,PAGESPEED_RAW[Device],"mobile")</f>
        <v>20</v>
      </c>
      <c r="O22" s="15">
        <f>AVERAGEIFS(PAGESPEED_RAW[CLS],PAGESPEED_RAW[Page_ID],A22,PAGESPEED_RAW[Device],"mobile")</f>
        <v>0</v>
      </c>
      <c r="P22" t="str">
        <f t="shared" si="2"/>
        <v>Critical</v>
      </c>
      <c r="Q22" t="str">
        <f t="shared" si="3"/>
        <v>Slow LCP</v>
      </c>
      <c r="R22" t="str">
        <f t="shared" si="4"/>
        <v>Optimize images, reduce render blocking resources, improve server response time</v>
      </c>
      <c r="S22">
        <f t="shared" si="5"/>
        <v>2</v>
      </c>
      <c r="T22">
        <f t="shared" si="6"/>
        <v>3</v>
      </c>
      <c r="U22">
        <f t="shared" si="7"/>
        <v>1</v>
      </c>
      <c r="V22">
        <f t="shared" si="8"/>
        <v>3</v>
      </c>
      <c r="W22">
        <f t="shared" si="9"/>
        <v>9</v>
      </c>
      <c r="X22">
        <f t="shared" si="10"/>
        <v>3</v>
      </c>
      <c r="Y22" t="str">
        <f t="shared" si="11"/>
        <v>Priority Optimization</v>
      </c>
    </row>
    <row r="23" spans="1:25">
      <c r="A23" t="str">
        <v>P022</v>
      </c>
      <c r="B23" t="str">
        <f>_xlfn.XLOOKUP(A23,PAGESPEED_RAW[Page_ID],PAGESPEED_RAW[URL])</f>
        <v>https://pmb.widyatama.ac.id/jalur-seleksi/</v>
      </c>
      <c r="C23" t="str">
        <f>_xlfn.XLOOKUP(A23,PAGESPEED_RAW[Page_ID],PAGESPEED_RAW[Final_Page_Type])</f>
        <v>Admission</v>
      </c>
      <c r="D23" t="str">
        <f>_xlfn.XLOOKUP(A23,PAGESPEED_RAW[Page_ID],PAGESPEED_RAW[Speed_Test_Segment])</f>
        <v>Core PMB Website</v>
      </c>
      <c r="E23" t="str">
        <f>_xlfn.XLOOKUP(A23,PAGESPEED_RAW[Page_ID],PAGESPEED_RAW[Test_Priority])</f>
        <v>P1 - Critical</v>
      </c>
      <c r="F23">
        <f>AVERAGEIFS(PAGESPEED_RAW[Performance],PAGESPEED_RAW[Page_ID],A23,PAGESPEED_RAW[Device],"mobile")</f>
        <v>57</v>
      </c>
      <c r="G23">
        <f>AVERAGEIFS(PAGESPEED_RAW[Performance],PAGESPEED_RAW[Page_ID],A23,PAGESPEED_RAW[Device],"desktop")</f>
        <v>65</v>
      </c>
      <c r="H23">
        <f t="shared" si="0"/>
        <v>8</v>
      </c>
      <c r="I23" s="14">
        <f>AVERAGEIFS(PAGESPEED_RAW[LCP],PAGESPEED_RAW[Page_ID],A23,PAGESPEED_RAW[Device],"mobile")</f>
        <v>180481.80210249624</v>
      </c>
      <c r="J23" s="14">
        <f>AVERAGEIFS(PAGESPEED_RAW[LCP],PAGESPEED_RAW[Page_ID],A23,PAGESPEED_RAW[Device],"desktop")</f>
        <v>29041.839171875756</v>
      </c>
      <c r="K23" s="14">
        <f t="shared" si="1"/>
        <v>151439.96293062047</v>
      </c>
      <c r="L23" s="14">
        <f>AVERAGEIFS(PAGESPEED_RAW[FCP],PAGESPEED_RAW[Page_ID],A23,PAGESPEED_RAW[Device],"mobile")</f>
        <v>4407.0405135448809</v>
      </c>
      <c r="M23" s="14">
        <f>AVERAGEIFS(PAGESPEED_RAW[FCP],PAGESPEED_RAW[Page_ID],A23,PAGESPEED_RAW[Device],"desktop")</f>
        <v>835.08461441478903</v>
      </c>
      <c r="N23" s="14">
        <f>AVERAGEIFS(PAGESPEED_RAW[TBT],PAGESPEED_RAW[Page_ID],A23,PAGESPEED_RAW[Device],"mobile")</f>
        <v>29</v>
      </c>
      <c r="O23" s="15">
        <f>AVERAGEIFS(PAGESPEED_RAW[CLS],PAGESPEED_RAW[Page_ID],A23,PAGESPEED_RAW[Device],"mobile")</f>
        <v>0</v>
      </c>
      <c r="P23" t="str">
        <f t="shared" si="2"/>
        <v>Critical</v>
      </c>
      <c r="Q23" t="str">
        <f t="shared" si="3"/>
        <v>Slow LCP</v>
      </c>
      <c r="R23" t="str">
        <f t="shared" si="4"/>
        <v>Optimize images, reduce render blocking resources, improve server response time</v>
      </c>
      <c r="S23">
        <f t="shared" si="5"/>
        <v>2</v>
      </c>
      <c r="T23">
        <f t="shared" si="6"/>
        <v>3</v>
      </c>
      <c r="U23">
        <f t="shared" si="7"/>
        <v>1</v>
      </c>
      <c r="V23">
        <f t="shared" si="8"/>
        <v>1</v>
      </c>
      <c r="W23">
        <f t="shared" si="9"/>
        <v>7</v>
      </c>
      <c r="X23">
        <f t="shared" si="10"/>
        <v>44</v>
      </c>
      <c r="Y23" t="str">
        <f t="shared" si="11"/>
        <v>Priority Optimization</v>
      </c>
    </row>
    <row r="24" spans="1:25">
      <c r="A24" t="str">
        <v>P023</v>
      </c>
      <c r="B24" t="str">
        <f>_xlfn.XLOOKUP(A24,PAGESPEED_RAW[Page_ID],PAGESPEED_RAW[URL])</f>
        <v>https://pmb.widyatama.ac.id/biaya-kuliah-rpl/</v>
      </c>
      <c r="C24" t="str">
        <f>_xlfn.XLOOKUP(A24,PAGESPEED_RAW[Page_ID],PAGESPEED_RAW[Final_Page_Type])</f>
        <v>Pricing</v>
      </c>
      <c r="D24" t="str">
        <f>_xlfn.XLOOKUP(A24,PAGESPEED_RAW[Page_ID],PAGESPEED_RAW[Speed_Test_Segment])</f>
        <v>Core PMB Website</v>
      </c>
      <c r="E24" t="str">
        <f>_xlfn.XLOOKUP(A24,PAGESPEED_RAW[Page_ID],PAGESPEED_RAW[Test_Priority])</f>
        <v>P1 - Critical</v>
      </c>
      <c r="F24">
        <f>AVERAGEIFS(PAGESPEED_RAW[Performance],PAGESPEED_RAW[Page_ID],A24,PAGESPEED_RAW[Device],"mobile")</f>
        <v>57</v>
      </c>
      <c r="G24">
        <f>AVERAGEIFS(PAGESPEED_RAW[Performance],PAGESPEED_RAW[Page_ID],A24,PAGESPEED_RAW[Device],"desktop")</f>
        <v>81</v>
      </c>
      <c r="H24">
        <f t="shared" si="0"/>
        <v>24</v>
      </c>
      <c r="I24" s="14">
        <f>AVERAGEIFS(PAGESPEED_RAW[LCP],PAGESPEED_RAW[Page_ID],A24,PAGESPEED_RAW[Device],"mobile")</f>
        <v>15034.513193137507</v>
      </c>
      <c r="J24" s="14">
        <f>AVERAGEIFS(PAGESPEED_RAW[LCP],PAGESPEED_RAW[Page_ID],A24,PAGESPEED_RAW[Device],"desktop")</f>
        <v>2241.0256079271321</v>
      </c>
      <c r="K24" s="14">
        <f t="shared" si="1"/>
        <v>12793.487585210376</v>
      </c>
      <c r="L24" s="14">
        <f>AVERAGEIFS(PAGESPEED_RAW[FCP],PAGESPEED_RAW[Page_ID],A24,PAGESPEED_RAW[Device],"mobile")</f>
        <v>4612.0037694678604</v>
      </c>
      <c r="M24" s="14">
        <f>AVERAGEIFS(PAGESPEED_RAW[FCP],PAGESPEED_RAW[Page_ID],A24,PAGESPEED_RAW[Device],"desktop")</f>
        <v>805.83624420607964</v>
      </c>
      <c r="N24" s="14">
        <f>AVERAGEIFS(PAGESPEED_RAW[TBT],PAGESPEED_RAW[Page_ID],A24,PAGESPEED_RAW[Device],"mobile")</f>
        <v>6.5</v>
      </c>
      <c r="O24" s="15">
        <f>AVERAGEIFS(PAGESPEED_RAW[CLS],PAGESPEED_RAW[Page_ID],A24,PAGESPEED_RAW[Device],"mobile")</f>
        <v>0</v>
      </c>
      <c r="P24" t="str">
        <f t="shared" si="2"/>
        <v>Critical</v>
      </c>
      <c r="Q24" t="str">
        <f t="shared" si="3"/>
        <v>Slow LCP</v>
      </c>
      <c r="R24" t="str">
        <f t="shared" si="4"/>
        <v>Optimize images, reduce render blocking resources, improve server response time</v>
      </c>
      <c r="S24">
        <f t="shared" si="5"/>
        <v>2</v>
      </c>
      <c r="T24">
        <f t="shared" si="6"/>
        <v>3</v>
      </c>
      <c r="U24">
        <f t="shared" si="7"/>
        <v>1</v>
      </c>
      <c r="V24">
        <f t="shared" si="8"/>
        <v>2</v>
      </c>
      <c r="W24">
        <f t="shared" si="9"/>
        <v>8</v>
      </c>
      <c r="X24">
        <f t="shared" si="10"/>
        <v>5</v>
      </c>
      <c r="Y24" t="str">
        <f t="shared" si="11"/>
        <v>Priority Optimization</v>
      </c>
    </row>
    <row r="25" spans="1:25">
      <c r="A25" t="str">
        <v>P024</v>
      </c>
      <c r="B25" t="str">
        <f>_xlfn.XLOOKUP(A25,PAGESPEED_RAW[Page_ID],PAGESPEED_RAW[URL])</f>
        <v>https://pmb.widyatama.ac.id/apresiasi-prestasi-mahasiswa/</v>
      </c>
      <c r="C25" t="str">
        <f>_xlfn.XLOOKUP(A25,PAGESPEED_RAW[Page_ID],PAGESPEED_RAW[Final_Page_Type])</f>
        <v>Campus Life</v>
      </c>
      <c r="D25" t="str">
        <f>_xlfn.XLOOKUP(A25,PAGESPEED_RAW[Page_ID],PAGESPEED_RAW[Speed_Test_Segment])</f>
        <v>Core PMB Website</v>
      </c>
      <c r="E25" t="str">
        <f>_xlfn.XLOOKUP(A25,PAGESPEED_RAW[Page_ID],PAGESPEED_RAW[Test_Priority])</f>
        <v>P2 - High</v>
      </c>
      <c r="F25">
        <f>AVERAGEIFS(PAGESPEED_RAW[Performance],PAGESPEED_RAW[Page_ID],A25,PAGESPEED_RAW[Device],"mobile")</f>
        <v>58</v>
      </c>
      <c r="G25">
        <f>AVERAGEIFS(PAGESPEED_RAW[Performance],PAGESPEED_RAW[Page_ID],A25,PAGESPEED_RAW[Device],"desktop")</f>
        <v>87</v>
      </c>
      <c r="H25">
        <f t="shared" si="0"/>
        <v>29</v>
      </c>
      <c r="I25" s="14">
        <f>AVERAGEIFS(PAGESPEED_RAW[LCP],PAGESPEED_RAW[Page_ID],A25,PAGESPEED_RAW[Device],"mobile")</f>
        <v>11946.055029726273</v>
      </c>
      <c r="J25" s="14">
        <f>AVERAGEIFS(PAGESPEED_RAW[LCP],PAGESPEED_RAW[Page_ID],A25,PAGESPEED_RAW[Device],"desktop")</f>
        <v>1774.6274407525511</v>
      </c>
      <c r="K25" s="14">
        <f t="shared" si="1"/>
        <v>10171.427588973722</v>
      </c>
      <c r="L25" s="14">
        <f>AVERAGEIFS(PAGESPEED_RAW[FCP],PAGESPEED_RAW[Page_ID],A25,PAGESPEED_RAW[Device],"mobile")</f>
        <v>4388.0191716465724</v>
      </c>
      <c r="M25" s="14">
        <f>AVERAGEIFS(PAGESPEED_RAW[FCP],PAGESPEED_RAW[Page_ID],A25,PAGESPEED_RAW[Device],"desktop")</f>
        <v>765.26062917272361</v>
      </c>
      <c r="N25" s="14">
        <f>AVERAGEIFS(PAGESPEED_RAW[TBT],PAGESPEED_RAW[Page_ID],A25,PAGESPEED_RAW[Device],"mobile")</f>
        <v>24</v>
      </c>
      <c r="O25" s="15">
        <f>AVERAGEIFS(PAGESPEED_RAW[CLS],PAGESPEED_RAW[Page_ID],A25,PAGESPEED_RAW[Device],"mobile")</f>
        <v>0</v>
      </c>
      <c r="P25" t="str">
        <f t="shared" si="2"/>
        <v>Critical</v>
      </c>
      <c r="Q25" t="str">
        <f t="shared" si="3"/>
        <v>Slow LCP</v>
      </c>
      <c r="R25" t="str">
        <f t="shared" si="4"/>
        <v>Optimize images, reduce render blocking resources, improve server response time</v>
      </c>
      <c r="S25">
        <f t="shared" si="5"/>
        <v>2</v>
      </c>
      <c r="T25">
        <f t="shared" si="6"/>
        <v>2</v>
      </c>
      <c r="U25">
        <f t="shared" si="7"/>
        <v>1</v>
      </c>
      <c r="V25">
        <f t="shared" si="8"/>
        <v>3</v>
      </c>
      <c r="W25">
        <f t="shared" si="9"/>
        <v>8</v>
      </c>
      <c r="X25">
        <f t="shared" si="10"/>
        <v>5</v>
      </c>
      <c r="Y25" t="str">
        <f t="shared" si="11"/>
        <v>Priority Optimization</v>
      </c>
    </row>
    <row r="26" spans="1:25">
      <c r="A26" t="str">
        <v>P025</v>
      </c>
      <c r="B26" t="str">
        <f>_xlfn.XLOOKUP(A26,PAGESPEED_RAW[Page_ID],PAGESPEED_RAW[URL])</f>
        <v>https://pmb.widyatama.ac.id/asuransi-mahasiswa/</v>
      </c>
      <c r="C26" t="str">
        <f>_xlfn.XLOOKUP(A26,PAGESPEED_RAW[Page_ID],PAGESPEED_RAW[Final_Page_Type])</f>
        <v>Campus Life</v>
      </c>
      <c r="D26" t="str">
        <f>_xlfn.XLOOKUP(A26,PAGESPEED_RAW[Page_ID],PAGESPEED_RAW[Speed_Test_Segment])</f>
        <v>Core PMB Website</v>
      </c>
      <c r="E26" t="str">
        <f>_xlfn.XLOOKUP(A26,PAGESPEED_RAW[Page_ID],PAGESPEED_RAW[Test_Priority])</f>
        <v>P2 - High</v>
      </c>
      <c r="F26">
        <f>AVERAGEIFS(PAGESPEED_RAW[Performance],PAGESPEED_RAW[Page_ID],A26,PAGESPEED_RAW[Device],"mobile")</f>
        <v>45</v>
      </c>
      <c r="G26">
        <f>AVERAGEIFS(PAGESPEED_RAW[Performance],PAGESPEED_RAW[Page_ID],A26,PAGESPEED_RAW[Device],"desktop")</f>
        <v>80</v>
      </c>
      <c r="H26">
        <f t="shared" si="0"/>
        <v>35</v>
      </c>
      <c r="I26" s="14">
        <f>AVERAGEIFS(PAGESPEED_RAW[LCP],PAGESPEED_RAW[Page_ID],A26,PAGESPEED_RAW[Device],"mobile")</f>
        <v>13501.087522596972</v>
      </c>
      <c r="J26" s="14">
        <f>AVERAGEIFS(PAGESPEED_RAW[LCP],PAGESPEED_RAW[Page_ID],A26,PAGESPEED_RAW[Device],"desktop")</f>
        <v>2501.0271382718784</v>
      </c>
      <c r="K26" s="14">
        <f t="shared" si="1"/>
        <v>11000.060384325094</v>
      </c>
      <c r="L26" s="14">
        <f>AVERAGEIFS(PAGESPEED_RAW[FCP],PAGESPEED_RAW[Page_ID],A26,PAGESPEED_RAW[Device],"mobile")</f>
        <v>3659.0218806492435</v>
      </c>
      <c r="M26" s="14">
        <f>AVERAGEIFS(PAGESPEED_RAW[FCP],PAGESPEED_RAW[Page_ID],A26,PAGESPEED_RAW[Device],"desktop")</f>
        <v>794.70030785245262</v>
      </c>
      <c r="N26" s="14">
        <f>AVERAGEIFS(PAGESPEED_RAW[TBT],PAGESPEED_RAW[Page_ID],A26,PAGESPEED_RAW[Device],"mobile")</f>
        <v>505.99999999999955</v>
      </c>
      <c r="O26" s="15">
        <f>AVERAGEIFS(PAGESPEED_RAW[CLS],PAGESPEED_RAW[Page_ID],A26,PAGESPEED_RAW[Device],"mobile")</f>
        <v>0</v>
      </c>
      <c r="P26" t="str">
        <f t="shared" si="2"/>
        <v>Critical</v>
      </c>
      <c r="Q26" t="str">
        <f t="shared" si="3"/>
        <v>Slow LCP</v>
      </c>
      <c r="R26" t="str">
        <f t="shared" si="4"/>
        <v>Optimize images, reduce render blocking resources, improve server response time</v>
      </c>
      <c r="S26">
        <f t="shared" si="5"/>
        <v>3</v>
      </c>
      <c r="T26">
        <f t="shared" si="6"/>
        <v>2</v>
      </c>
      <c r="U26">
        <f t="shared" si="7"/>
        <v>2</v>
      </c>
      <c r="V26">
        <f t="shared" si="8"/>
        <v>3</v>
      </c>
      <c r="W26">
        <f t="shared" si="9"/>
        <v>10</v>
      </c>
      <c r="X26">
        <f t="shared" si="10"/>
        <v>1</v>
      </c>
      <c r="Y26" t="str">
        <f t="shared" si="11"/>
        <v>Immediate Optimization</v>
      </c>
    </row>
    <row r="27" spans="1:25">
      <c r="A27" t="str">
        <v>P026</v>
      </c>
      <c r="B27" t="str">
        <f>_xlfn.XLOOKUP(A27,PAGESPEED_RAW[Page_ID],PAGESPEED_RAW[URL])</f>
        <v>https://pmb.widyatama.ac.id/organisasi-kemahasiswaan/</v>
      </c>
      <c r="C27" t="str">
        <f>_xlfn.XLOOKUP(A27,PAGESPEED_RAW[Page_ID],PAGESPEED_RAW[Final_Page_Type])</f>
        <v>Campus Life</v>
      </c>
      <c r="D27" t="str">
        <f>_xlfn.XLOOKUP(A27,PAGESPEED_RAW[Page_ID],PAGESPEED_RAW[Speed_Test_Segment])</f>
        <v>Core PMB Website</v>
      </c>
      <c r="E27" t="str">
        <f>_xlfn.XLOOKUP(A27,PAGESPEED_RAW[Page_ID],PAGESPEED_RAW[Test_Priority])</f>
        <v>P2 - High</v>
      </c>
      <c r="F27">
        <f>AVERAGEIFS(PAGESPEED_RAW[Performance],PAGESPEED_RAW[Page_ID],A27,PAGESPEED_RAW[Device],"mobile")</f>
        <v>55</v>
      </c>
      <c r="G27">
        <f>AVERAGEIFS(PAGESPEED_RAW[Performance],PAGESPEED_RAW[Page_ID],A27,PAGESPEED_RAW[Device],"desktop")</f>
        <v>72</v>
      </c>
      <c r="H27">
        <f t="shared" si="0"/>
        <v>17</v>
      </c>
      <c r="I27" s="14">
        <f>AVERAGEIFS(PAGESPEED_RAW[LCP],PAGESPEED_RAW[Page_ID],A27,PAGESPEED_RAW[Device],"mobile")</f>
        <v>18924.07585951902</v>
      </c>
      <c r="J27" s="14">
        <f>AVERAGEIFS(PAGESPEED_RAW[LCP],PAGESPEED_RAW[Page_ID],A27,PAGESPEED_RAW[Device],"desktop")</f>
        <v>3041.045274090935</v>
      </c>
      <c r="K27" s="14">
        <f t="shared" si="1"/>
        <v>15883.030585428085</v>
      </c>
      <c r="L27" s="14">
        <f>AVERAGEIFS(PAGESPEED_RAW[FCP],PAGESPEED_RAW[Page_ID],A27,PAGESPEED_RAW[Device],"mobile")</f>
        <v>6451.0250825829025</v>
      </c>
      <c r="M27" s="14">
        <f>AVERAGEIFS(PAGESPEED_RAW[FCP],PAGESPEED_RAW[Page_ID],A27,PAGESPEED_RAW[Device],"desktop")</f>
        <v>1281.0183543611899</v>
      </c>
      <c r="N27" s="14">
        <f>AVERAGEIFS(PAGESPEED_RAW[TBT],PAGESPEED_RAW[Page_ID],A27,PAGESPEED_RAW[Device],"mobile")</f>
        <v>67</v>
      </c>
      <c r="O27" s="15">
        <f>AVERAGEIFS(PAGESPEED_RAW[CLS],PAGESPEED_RAW[Page_ID],A27,PAGESPEED_RAW[Device],"mobile")</f>
        <v>0</v>
      </c>
      <c r="P27" t="str">
        <f t="shared" si="2"/>
        <v>Critical</v>
      </c>
      <c r="Q27" t="str">
        <f t="shared" si="3"/>
        <v>Slow LCP</v>
      </c>
      <c r="R27" t="str">
        <f t="shared" si="4"/>
        <v>Optimize images, reduce render blocking resources, improve server response time</v>
      </c>
      <c r="S27">
        <f t="shared" si="5"/>
        <v>2</v>
      </c>
      <c r="T27">
        <f t="shared" si="6"/>
        <v>3</v>
      </c>
      <c r="U27">
        <f t="shared" si="7"/>
        <v>1</v>
      </c>
      <c r="V27">
        <f t="shared" si="8"/>
        <v>2</v>
      </c>
      <c r="W27">
        <f t="shared" si="9"/>
        <v>8</v>
      </c>
      <c r="X27">
        <f t="shared" si="10"/>
        <v>5</v>
      </c>
      <c r="Y27" t="str">
        <f t="shared" si="11"/>
        <v>Priority Optimization</v>
      </c>
    </row>
    <row r="28" spans="1:25">
      <c r="A28" t="str">
        <v>P027</v>
      </c>
      <c r="B28" t="str">
        <f>_xlfn.XLOOKUP(A28,PAGESPEED_RAW[Page_ID],PAGESPEED_RAW[URL])</f>
        <v>https://pmb.widyatama.ac.id/jalur-seleksi-unggulan/</v>
      </c>
      <c r="C28" t="str">
        <f>_xlfn.XLOOKUP(A28,PAGESPEED_RAW[Page_ID],PAGESPEED_RAW[Final_Page_Type])</f>
        <v>Admission</v>
      </c>
      <c r="D28" t="str">
        <f>_xlfn.XLOOKUP(A28,PAGESPEED_RAW[Page_ID],PAGESPEED_RAW[Speed_Test_Segment])</f>
        <v>Core PMB Website</v>
      </c>
      <c r="E28" t="str">
        <f>_xlfn.XLOOKUP(A28,PAGESPEED_RAW[Page_ID],PAGESPEED_RAW[Test_Priority])</f>
        <v>P1 - Critical</v>
      </c>
      <c r="F28">
        <f>AVERAGEIFS(PAGESPEED_RAW[Performance],PAGESPEED_RAW[Page_ID],A28,PAGESPEED_RAW[Device],"mobile")</f>
        <v>57</v>
      </c>
      <c r="G28">
        <f>AVERAGEIFS(PAGESPEED_RAW[Performance],PAGESPEED_RAW[Page_ID],A28,PAGESPEED_RAW[Device],"desktop")</f>
        <v>78</v>
      </c>
      <c r="H28">
        <f t="shared" si="0"/>
        <v>21</v>
      </c>
      <c r="I28" s="14">
        <f>AVERAGEIFS(PAGESPEED_RAW[LCP],PAGESPEED_RAW[Page_ID],A28,PAGESPEED_RAW[Device],"mobile")</f>
        <v>18855.582913932441</v>
      </c>
      <c r="J28" s="14">
        <f>AVERAGEIFS(PAGESPEED_RAW[LCP],PAGESPEED_RAW[Page_ID],A28,PAGESPEED_RAW[Device],"desktop")</f>
        <v>2773.0569343035449</v>
      </c>
      <c r="K28" s="14">
        <f t="shared" si="1"/>
        <v>16082.525979628896</v>
      </c>
      <c r="L28" s="14">
        <f>AVERAGEIFS(PAGESPEED_RAW[FCP],PAGESPEED_RAW[Page_ID],A28,PAGESPEED_RAW[Device],"mobile")</f>
        <v>4457.0181269325985</v>
      </c>
      <c r="M28" s="14">
        <f>AVERAGEIFS(PAGESPEED_RAW[FCP],PAGESPEED_RAW[Page_ID],A28,PAGESPEED_RAW[Device],"desktop")</f>
        <v>805.70219768694005</v>
      </c>
      <c r="N28" s="14">
        <f>AVERAGEIFS(PAGESPEED_RAW[TBT],PAGESPEED_RAW[Page_ID],A28,PAGESPEED_RAW[Device],"mobile")</f>
        <v>2.5</v>
      </c>
      <c r="O28" s="15">
        <f>AVERAGEIFS(PAGESPEED_RAW[CLS],PAGESPEED_RAW[Page_ID],A28,PAGESPEED_RAW[Device],"mobile")</f>
        <v>0</v>
      </c>
      <c r="P28" t="str">
        <f t="shared" si="2"/>
        <v>Critical</v>
      </c>
      <c r="Q28" t="str">
        <f t="shared" si="3"/>
        <v>Slow LCP</v>
      </c>
      <c r="R28" t="str">
        <f t="shared" si="4"/>
        <v>Optimize images, reduce render blocking resources, improve server response time</v>
      </c>
      <c r="S28">
        <f t="shared" si="5"/>
        <v>2</v>
      </c>
      <c r="T28">
        <f t="shared" si="6"/>
        <v>3</v>
      </c>
      <c r="U28">
        <f t="shared" si="7"/>
        <v>1</v>
      </c>
      <c r="V28">
        <f t="shared" si="8"/>
        <v>2</v>
      </c>
      <c r="W28">
        <f t="shared" si="9"/>
        <v>8</v>
      </c>
      <c r="X28">
        <f t="shared" si="10"/>
        <v>5</v>
      </c>
      <c r="Y28" t="str">
        <f t="shared" si="11"/>
        <v>Priority Optimization</v>
      </c>
    </row>
    <row r="29" spans="1:25">
      <c r="A29" t="str">
        <v>P028</v>
      </c>
      <c r="B29" t="str">
        <f>_xlfn.XLOOKUP(A29,PAGESPEED_RAW[Page_ID],PAGESPEED_RAW[URL])</f>
        <v>https://pmb.widyatama.ac.id/jalur-reguler-pendidikan-profesi/</v>
      </c>
      <c r="C29" t="str">
        <f>_xlfn.XLOOKUP(A29,PAGESPEED_RAW[Page_ID],PAGESPEED_RAW[Final_Page_Type])</f>
        <v>Admission</v>
      </c>
      <c r="D29" t="str">
        <f>_xlfn.XLOOKUP(A29,PAGESPEED_RAW[Page_ID],PAGESPEED_RAW[Speed_Test_Segment])</f>
        <v>Core PMB Website</v>
      </c>
      <c r="E29" t="str">
        <f>_xlfn.XLOOKUP(A29,PAGESPEED_RAW[Page_ID],PAGESPEED_RAW[Test_Priority])</f>
        <v>P1 - Critical</v>
      </c>
      <c r="F29">
        <f>AVERAGEIFS(PAGESPEED_RAW[Performance],PAGESPEED_RAW[Page_ID],A29,PAGESPEED_RAW[Device],"mobile")</f>
        <v>59</v>
      </c>
      <c r="G29">
        <f>AVERAGEIFS(PAGESPEED_RAW[Performance],PAGESPEED_RAW[Page_ID],A29,PAGESPEED_RAW[Device],"desktop")</f>
        <v>78</v>
      </c>
      <c r="H29">
        <f t="shared" si="0"/>
        <v>19</v>
      </c>
      <c r="I29" s="14">
        <f>AVERAGEIFS(PAGESPEED_RAW[LCP],PAGESPEED_RAW[Page_ID],A29,PAGESPEED_RAW[Device],"mobile")</f>
        <v>13201.109830661417</v>
      </c>
      <c r="J29" s="14">
        <f>AVERAGEIFS(PAGESPEED_RAW[LCP],PAGESPEED_RAW[Page_ID],A29,PAGESPEED_RAW[Device],"desktop")</f>
        <v>2174.0346388786998</v>
      </c>
      <c r="K29" s="14">
        <f t="shared" si="1"/>
        <v>11027.075191782717</v>
      </c>
      <c r="L29" s="14">
        <f>AVERAGEIFS(PAGESPEED_RAW[FCP],PAGESPEED_RAW[Page_ID],A29,PAGESPEED_RAW[Device],"mobile")</f>
        <v>3637.0280962157108</v>
      </c>
      <c r="M29" s="14">
        <f>AVERAGEIFS(PAGESPEED_RAW[FCP],PAGESPEED_RAW[Page_ID],A29,PAGESPEED_RAW[Device],"desktop")</f>
        <v>805.25634765626467</v>
      </c>
      <c r="N29" s="14">
        <f>AVERAGEIFS(PAGESPEED_RAW[TBT],PAGESPEED_RAW[Page_ID],A29,PAGESPEED_RAW[Device],"mobile")</f>
        <v>48</v>
      </c>
      <c r="O29" s="15">
        <f>AVERAGEIFS(PAGESPEED_RAW[CLS],PAGESPEED_RAW[Page_ID],A29,PAGESPEED_RAW[Device],"mobile")</f>
        <v>0</v>
      </c>
      <c r="P29" t="str">
        <f t="shared" si="2"/>
        <v>Critical</v>
      </c>
      <c r="Q29" t="str">
        <f t="shared" si="3"/>
        <v>Slow LCP</v>
      </c>
      <c r="R29" t="str">
        <f t="shared" si="4"/>
        <v>Optimize images, reduce render blocking resources, improve server response time</v>
      </c>
      <c r="S29">
        <f t="shared" si="5"/>
        <v>2</v>
      </c>
      <c r="T29">
        <f t="shared" si="6"/>
        <v>2</v>
      </c>
      <c r="U29">
        <f t="shared" si="7"/>
        <v>1</v>
      </c>
      <c r="V29">
        <f t="shared" si="8"/>
        <v>2</v>
      </c>
      <c r="W29">
        <f t="shared" si="9"/>
        <v>7</v>
      </c>
      <c r="X29">
        <f t="shared" si="10"/>
        <v>44</v>
      </c>
      <c r="Y29" t="str">
        <f t="shared" si="11"/>
        <v>Priority Optimization</v>
      </c>
    </row>
    <row r="30" spans="1:25">
      <c r="A30" t="str">
        <v>P029</v>
      </c>
      <c r="B30" t="str">
        <f>_xlfn.XLOOKUP(A30,PAGESPEED_RAW[Page_ID],PAGESPEED_RAW[URL])</f>
        <v>https://pmb.widyatama.ac.id/jalur-pasca-reguler-maksi/</v>
      </c>
      <c r="C30" t="str">
        <f>_xlfn.XLOOKUP(A30,PAGESPEED_RAW[Page_ID],PAGESPEED_RAW[Final_Page_Type])</f>
        <v>Admission</v>
      </c>
      <c r="D30" t="str">
        <f>_xlfn.XLOOKUP(A30,PAGESPEED_RAW[Page_ID],PAGESPEED_RAW[Speed_Test_Segment])</f>
        <v>Core PMB Website</v>
      </c>
      <c r="E30" t="str">
        <f>_xlfn.XLOOKUP(A30,PAGESPEED_RAW[Page_ID],PAGESPEED_RAW[Test_Priority])</f>
        <v>P1 - Critical</v>
      </c>
      <c r="F30">
        <f>AVERAGEIFS(PAGESPEED_RAW[Performance],PAGESPEED_RAW[Page_ID],A30,PAGESPEED_RAW[Device],"mobile")</f>
        <v>58</v>
      </c>
      <c r="G30">
        <f>AVERAGEIFS(PAGESPEED_RAW[Performance],PAGESPEED_RAW[Page_ID],A30,PAGESPEED_RAW[Device],"desktop")</f>
        <v>79</v>
      </c>
      <c r="H30">
        <f t="shared" si="0"/>
        <v>21</v>
      </c>
      <c r="I30" s="14">
        <f>AVERAGEIFS(PAGESPEED_RAW[LCP],PAGESPEED_RAW[Page_ID],A30,PAGESPEED_RAW[Device],"mobile")</f>
        <v>16001.047497377893</v>
      </c>
      <c r="J30" s="14">
        <f>AVERAGEIFS(PAGESPEED_RAW[LCP],PAGESPEED_RAW[Page_ID],A30,PAGESPEED_RAW[Device],"desktop")</f>
        <v>2641.0425884035303</v>
      </c>
      <c r="K30" s="14">
        <f t="shared" si="1"/>
        <v>13360.004908974362</v>
      </c>
      <c r="L30" s="14">
        <f>AVERAGEIFS(PAGESPEED_RAW[FCP],PAGESPEED_RAW[Page_ID],A30,PAGESPEED_RAW[Device],"mobile")</f>
        <v>4290.0118175294265</v>
      </c>
      <c r="M30" s="14">
        <f>AVERAGEIFS(PAGESPEED_RAW[FCP],PAGESPEED_RAW[Page_ID],A30,PAGESPEED_RAW[Device],"desktop")</f>
        <v>765.89161438133021</v>
      </c>
      <c r="N30" s="14">
        <f>AVERAGEIFS(PAGESPEED_RAW[TBT],PAGESPEED_RAW[Page_ID],A30,PAGESPEED_RAW[Device],"mobile")</f>
        <v>0</v>
      </c>
      <c r="O30" s="15">
        <f>AVERAGEIFS(PAGESPEED_RAW[CLS],PAGESPEED_RAW[Page_ID],A30,PAGESPEED_RAW[Device],"mobile")</f>
        <v>0</v>
      </c>
      <c r="P30" t="str">
        <f t="shared" si="2"/>
        <v>Critical</v>
      </c>
      <c r="Q30" t="str">
        <f t="shared" si="3"/>
        <v>Slow LCP</v>
      </c>
      <c r="R30" t="str">
        <f t="shared" si="4"/>
        <v>Optimize images, reduce render blocking resources, improve server response time</v>
      </c>
      <c r="S30">
        <f t="shared" si="5"/>
        <v>2</v>
      </c>
      <c r="T30">
        <f t="shared" si="6"/>
        <v>3</v>
      </c>
      <c r="U30">
        <f t="shared" si="7"/>
        <v>1</v>
      </c>
      <c r="V30">
        <f t="shared" si="8"/>
        <v>2</v>
      </c>
      <c r="W30">
        <f t="shared" si="9"/>
        <v>8</v>
      </c>
      <c r="X30">
        <f t="shared" si="10"/>
        <v>5</v>
      </c>
      <c r="Y30" t="str">
        <f t="shared" si="11"/>
        <v>Priority Optimization</v>
      </c>
    </row>
    <row r="31" spans="1:25">
      <c r="A31" t="str">
        <v>P030</v>
      </c>
      <c r="B31" t="str">
        <f>_xlfn.XLOOKUP(A31,PAGESPEED_RAW[Page_ID],PAGESPEED_RAW[URL])</f>
        <v>https://pmb.widyatama.ac.id/jalur-pasca-reguler-mm/</v>
      </c>
      <c r="C31" t="str">
        <f>_xlfn.XLOOKUP(A31,PAGESPEED_RAW[Page_ID],PAGESPEED_RAW[Final_Page_Type])</f>
        <v>Admission</v>
      </c>
      <c r="D31" t="str">
        <f>_xlfn.XLOOKUP(A31,PAGESPEED_RAW[Page_ID],PAGESPEED_RAW[Speed_Test_Segment])</f>
        <v>Core PMB Website</v>
      </c>
      <c r="E31" t="str">
        <f>_xlfn.XLOOKUP(A31,PAGESPEED_RAW[Page_ID],PAGESPEED_RAW[Test_Priority])</f>
        <v>P1 - Critical</v>
      </c>
      <c r="F31">
        <f>AVERAGEIFS(PAGESPEED_RAW[Performance],PAGESPEED_RAW[Page_ID],A31,PAGESPEED_RAW[Device],"mobile")</f>
        <v>58</v>
      </c>
      <c r="G31">
        <f>AVERAGEIFS(PAGESPEED_RAW[Performance],PAGESPEED_RAW[Page_ID],A31,PAGESPEED_RAW[Device],"desktop")</f>
        <v>80</v>
      </c>
      <c r="H31">
        <f t="shared" si="0"/>
        <v>22</v>
      </c>
      <c r="I31" s="14">
        <f>AVERAGEIFS(PAGESPEED_RAW[LCP],PAGESPEED_RAW[Page_ID],A31,PAGESPEED_RAW[Device],"mobile")</f>
        <v>14574.042447996939</v>
      </c>
      <c r="J31" s="14">
        <f>AVERAGEIFS(PAGESPEED_RAW[LCP],PAGESPEED_RAW[Page_ID],A31,PAGESPEED_RAW[Device],"desktop")</f>
        <v>2481.0525125104205</v>
      </c>
      <c r="K31" s="14">
        <f t="shared" si="1"/>
        <v>12092.989935486519</v>
      </c>
      <c r="L31" s="14">
        <f>AVERAGEIFS(PAGESPEED_RAW[FCP],PAGESPEED_RAW[Page_ID],A31,PAGESPEED_RAW[Device],"mobile")</f>
        <v>4431.0120641675512</v>
      </c>
      <c r="M31" s="14">
        <f>AVERAGEIFS(PAGESPEED_RAW[FCP],PAGESPEED_RAW[Page_ID],A31,PAGESPEED_RAW[Device],"desktop")</f>
        <v>805.70109825133409</v>
      </c>
      <c r="N31" s="14">
        <f>AVERAGEIFS(PAGESPEED_RAW[TBT],PAGESPEED_RAW[Page_ID],A31,PAGESPEED_RAW[Device],"mobile")</f>
        <v>0</v>
      </c>
      <c r="O31" s="15">
        <f>AVERAGEIFS(PAGESPEED_RAW[CLS],PAGESPEED_RAW[Page_ID],A31,PAGESPEED_RAW[Device],"mobile")</f>
        <v>0</v>
      </c>
      <c r="P31" t="str">
        <f t="shared" si="2"/>
        <v>Critical</v>
      </c>
      <c r="Q31" t="str">
        <f t="shared" si="3"/>
        <v>Slow LCP</v>
      </c>
      <c r="R31" t="str">
        <f t="shared" si="4"/>
        <v>Optimize images, reduce render blocking resources, improve server response time</v>
      </c>
      <c r="S31">
        <f t="shared" si="5"/>
        <v>2</v>
      </c>
      <c r="T31">
        <f t="shared" si="6"/>
        <v>2</v>
      </c>
      <c r="U31">
        <f t="shared" si="7"/>
        <v>1</v>
      </c>
      <c r="V31">
        <f t="shared" si="8"/>
        <v>2</v>
      </c>
      <c r="W31">
        <f t="shared" si="9"/>
        <v>7</v>
      </c>
      <c r="X31">
        <f t="shared" si="10"/>
        <v>44</v>
      </c>
      <c r="Y31" t="str">
        <f t="shared" si="11"/>
        <v>Priority Optimization</v>
      </c>
    </row>
    <row r="32" spans="1:25">
      <c r="A32" t="str">
        <v>P031</v>
      </c>
      <c r="B32" t="str">
        <f>_xlfn.XLOOKUP(A32,PAGESPEED_RAW[Page_ID],PAGESPEED_RAW[URL])</f>
        <v>https://pmb.widyatama.ac.id/jalur-seleksi-mandiri/</v>
      </c>
      <c r="C32" t="str">
        <f>_xlfn.XLOOKUP(A32,PAGESPEED_RAW[Page_ID],PAGESPEED_RAW[Final_Page_Type])</f>
        <v>Admission</v>
      </c>
      <c r="D32" t="str">
        <f>_xlfn.XLOOKUP(A32,PAGESPEED_RAW[Page_ID],PAGESPEED_RAW[Speed_Test_Segment])</f>
        <v>Core PMB Website</v>
      </c>
      <c r="E32" t="str">
        <f>_xlfn.XLOOKUP(A32,PAGESPEED_RAW[Page_ID],PAGESPEED_RAW[Test_Priority])</f>
        <v>P1 - Critical</v>
      </c>
      <c r="F32">
        <f>AVERAGEIFS(PAGESPEED_RAW[Performance],PAGESPEED_RAW[Page_ID],A32,PAGESPEED_RAW[Device],"mobile")</f>
        <v>58</v>
      </c>
      <c r="G32">
        <f>AVERAGEIFS(PAGESPEED_RAW[Performance],PAGESPEED_RAW[Page_ID],A32,PAGESPEED_RAW[Device],"desktop")</f>
        <v>78</v>
      </c>
      <c r="H32">
        <f t="shared" si="0"/>
        <v>20</v>
      </c>
      <c r="I32" s="14">
        <f>AVERAGEIFS(PAGESPEED_RAW[LCP],PAGESPEED_RAW[Page_ID],A32,PAGESPEED_RAW[Device],"mobile")</f>
        <v>15301.085725283978</v>
      </c>
      <c r="J32" s="14">
        <f>AVERAGEIFS(PAGESPEED_RAW[LCP],PAGESPEED_RAW[Page_ID],A32,PAGESPEED_RAW[Device],"desktop")</f>
        <v>2801.0436184179089</v>
      </c>
      <c r="K32" s="14">
        <f t="shared" si="1"/>
        <v>12500.042106866069</v>
      </c>
      <c r="L32" s="14">
        <f>AVERAGEIFS(PAGESPEED_RAW[FCP],PAGESPEED_RAW[Page_ID],A32,PAGESPEED_RAW[Device],"mobile")</f>
        <v>3648.0188595624768</v>
      </c>
      <c r="M32" s="14">
        <f>AVERAGEIFS(PAGESPEED_RAW[FCP],PAGESPEED_RAW[Page_ID],A32,PAGESPEED_RAW[Device],"desktop")</f>
        <v>834.70136501471075</v>
      </c>
      <c r="N32" s="14">
        <f>AVERAGEIFS(PAGESPEED_RAW[TBT],PAGESPEED_RAW[Page_ID],A32,PAGESPEED_RAW[Device],"mobile")</f>
        <v>102</v>
      </c>
      <c r="O32" s="15">
        <f>AVERAGEIFS(PAGESPEED_RAW[CLS],PAGESPEED_RAW[Page_ID],A32,PAGESPEED_RAW[Device],"mobile")</f>
        <v>0</v>
      </c>
      <c r="P32" t="str">
        <f t="shared" si="2"/>
        <v>Critical</v>
      </c>
      <c r="Q32" t="str">
        <f t="shared" si="3"/>
        <v>Slow LCP</v>
      </c>
      <c r="R32" t="str">
        <f t="shared" si="4"/>
        <v>Optimize images, reduce render blocking resources, improve server response time</v>
      </c>
      <c r="S32">
        <f t="shared" si="5"/>
        <v>2</v>
      </c>
      <c r="T32">
        <f t="shared" si="6"/>
        <v>3</v>
      </c>
      <c r="U32">
        <f t="shared" si="7"/>
        <v>1</v>
      </c>
      <c r="V32">
        <f t="shared" si="8"/>
        <v>2</v>
      </c>
      <c r="W32">
        <f t="shared" si="9"/>
        <v>8</v>
      </c>
      <c r="X32">
        <f t="shared" si="10"/>
        <v>5</v>
      </c>
      <c r="Y32" t="str">
        <f t="shared" si="11"/>
        <v>Priority Optimization</v>
      </c>
    </row>
    <row r="33" spans="1:25">
      <c r="A33" t="str">
        <v>P032</v>
      </c>
      <c r="B33" t="str">
        <f>_xlfn.XLOOKUP(A33,PAGESPEED_RAW[Page_ID],PAGESPEED_RAW[URL])</f>
        <v>https://pmb.widyatama.ac.id/jalur-seleksi-pmdk/</v>
      </c>
      <c r="C33" t="str">
        <f>_xlfn.XLOOKUP(A33,PAGESPEED_RAW[Page_ID],PAGESPEED_RAW[Final_Page_Type])</f>
        <v>Admission</v>
      </c>
      <c r="D33" t="str">
        <f>_xlfn.XLOOKUP(A33,PAGESPEED_RAW[Page_ID],PAGESPEED_RAW[Speed_Test_Segment])</f>
        <v>Core PMB Website</v>
      </c>
      <c r="E33" t="str">
        <f>_xlfn.XLOOKUP(A33,PAGESPEED_RAW[Page_ID],PAGESPEED_RAW[Test_Priority])</f>
        <v>P1 - Critical</v>
      </c>
      <c r="F33">
        <f>AVERAGEIFS(PAGESPEED_RAW[Performance],PAGESPEED_RAW[Page_ID],A33,PAGESPEED_RAW[Device],"mobile")</f>
        <v>57</v>
      </c>
      <c r="G33">
        <f>AVERAGEIFS(PAGESPEED_RAW[Performance],PAGESPEED_RAW[Page_ID],A33,PAGESPEED_RAW[Device],"desktop")</f>
        <v>75</v>
      </c>
      <c r="H33">
        <f t="shared" si="0"/>
        <v>18</v>
      </c>
      <c r="I33" s="14">
        <f>AVERAGEIFS(PAGESPEED_RAW[LCP],PAGESPEED_RAW[Page_ID],A33,PAGESPEED_RAW[Device],"mobile")</f>
        <v>19595.59325346681</v>
      </c>
      <c r="J33" s="14">
        <f>AVERAGEIFS(PAGESPEED_RAW[LCP],PAGESPEED_RAW[Page_ID],A33,PAGESPEED_RAW[Device],"desktop")</f>
        <v>3201.0309215811535</v>
      </c>
      <c r="K33" s="14">
        <f t="shared" si="1"/>
        <v>16394.562331885656</v>
      </c>
      <c r="L33" s="14">
        <f>AVERAGEIFS(PAGESPEED_RAW[FCP],PAGESPEED_RAW[Page_ID],A33,PAGESPEED_RAW[Device],"mobile")</f>
        <v>4425.019594113649</v>
      </c>
      <c r="M33" s="14">
        <f>AVERAGEIFS(PAGESPEED_RAW[FCP],PAGESPEED_RAW[Page_ID],A33,PAGESPEED_RAW[Device],"desktop")</f>
        <v>805.20282226948405</v>
      </c>
      <c r="N33" s="14">
        <f>AVERAGEIFS(PAGESPEED_RAW[TBT],PAGESPEED_RAW[Page_ID],A33,PAGESPEED_RAW[Device],"mobile")</f>
        <v>0</v>
      </c>
      <c r="O33" s="15">
        <f>AVERAGEIFS(PAGESPEED_RAW[CLS],PAGESPEED_RAW[Page_ID],A33,PAGESPEED_RAW[Device],"mobile")</f>
        <v>0</v>
      </c>
      <c r="P33" t="str">
        <f t="shared" si="2"/>
        <v>Critical</v>
      </c>
      <c r="Q33" t="str">
        <f t="shared" si="3"/>
        <v>Slow LCP</v>
      </c>
      <c r="R33" t="str">
        <f t="shared" si="4"/>
        <v>Optimize images, reduce render blocking resources, improve server response time</v>
      </c>
      <c r="S33">
        <f t="shared" si="5"/>
        <v>2</v>
      </c>
      <c r="T33">
        <f t="shared" si="6"/>
        <v>3</v>
      </c>
      <c r="U33">
        <f t="shared" si="7"/>
        <v>1</v>
      </c>
      <c r="V33">
        <f t="shared" si="8"/>
        <v>2</v>
      </c>
      <c r="W33">
        <f t="shared" si="9"/>
        <v>8</v>
      </c>
      <c r="X33">
        <f t="shared" si="10"/>
        <v>5</v>
      </c>
      <c r="Y33" t="str">
        <f t="shared" si="11"/>
        <v>Priority Optimization</v>
      </c>
    </row>
    <row r="34" spans="1:25">
      <c r="A34" t="str">
        <v>P033</v>
      </c>
      <c r="B34" t="str">
        <f>_xlfn.XLOOKUP(A34,PAGESPEED_RAW[Page_ID],PAGESPEED_RAW[URL])</f>
        <v>https://pmb.widyatama.ac.id/jalur-seleksi-utama/</v>
      </c>
      <c r="C34" t="str">
        <f>_xlfn.XLOOKUP(A34,PAGESPEED_RAW[Page_ID],PAGESPEED_RAW[Final_Page_Type])</f>
        <v>Admission</v>
      </c>
      <c r="D34" t="str">
        <f>_xlfn.XLOOKUP(A34,PAGESPEED_RAW[Page_ID],PAGESPEED_RAW[Speed_Test_Segment])</f>
        <v>Core PMB Website</v>
      </c>
      <c r="E34" t="str">
        <f>_xlfn.XLOOKUP(A34,PAGESPEED_RAW[Page_ID],PAGESPEED_RAW[Test_Priority])</f>
        <v>P1 - Critical</v>
      </c>
      <c r="F34">
        <f>AVERAGEIFS(PAGESPEED_RAW[Performance],PAGESPEED_RAW[Page_ID],A34,PAGESPEED_RAW[Device],"mobile")</f>
        <v>59</v>
      </c>
      <c r="G34">
        <f>AVERAGEIFS(PAGESPEED_RAW[Performance],PAGESPEED_RAW[Page_ID],A34,PAGESPEED_RAW[Device],"desktop")</f>
        <v>76</v>
      </c>
      <c r="H34">
        <f t="shared" si="0"/>
        <v>17</v>
      </c>
      <c r="I34" s="14">
        <f>AVERAGEIFS(PAGESPEED_RAW[LCP],PAGESPEED_RAW[Page_ID],A34,PAGESPEED_RAW[Device],"mobile")</f>
        <v>17101.072139361786</v>
      </c>
      <c r="J34" s="14">
        <f>AVERAGEIFS(PAGESPEED_RAW[LCP],PAGESPEED_RAW[Page_ID],A34,PAGESPEED_RAW[Device],"desktop")</f>
        <v>3121.0337589650726</v>
      </c>
      <c r="K34" s="14">
        <f t="shared" si="1"/>
        <v>13980.038380396712</v>
      </c>
      <c r="L34" s="14">
        <f>AVERAGEIFS(PAGESPEED_RAW[FCP],PAGESPEED_RAW[Page_ID],A34,PAGESPEED_RAW[Device],"mobile")</f>
        <v>3633.0141702317756</v>
      </c>
      <c r="M34" s="14">
        <f>AVERAGEIFS(PAGESPEED_RAW[FCP],PAGESPEED_RAW[Page_ID],A34,PAGESPEED_RAW[Device],"desktop")</f>
        <v>806.29600007815156</v>
      </c>
      <c r="N34" s="14">
        <f>AVERAGEIFS(PAGESPEED_RAW[TBT],PAGESPEED_RAW[Page_ID],A34,PAGESPEED_RAW[Device],"mobile")</f>
        <v>27</v>
      </c>
      <c r="O34" s="15">
        <f>AVERAGEIFS(PAGESPEED_RAW[CLS],PAGESPEED_RAW[Page_ID],A34,PAGESPEED_RAW[Device],"mobile")</f>
        <v>0</v>
      </c>
      <c r="P34" t="str">
        <f t="shared" si="2"/>
        <v>Critical</v>
      </c>
      <c r="Q34" t="str">
        <f t="shared" si="3"/>
        <v>Slow LCP</v>
      </c>
      <c r="R34" t="str">
        <f t="shared" si="4"/>
        <v>Optimize images, reduce render blocking resources, improve server response time</v>
      </c>
      <c r="S34">
        <f t="shared" si="5"/>
        <v>2</v>
      </c>
      <c r="T34">
        <f t="shared" si="6"/>
        <v>3</v>
      </c>
      <c r="U34">
        <f t="shared" si="7"/>
        <v>1</v>
      </c>
      <c r="V34">
        <f t="shared" si="8"/>
        <v>2</v>
      </c>
      <c r="W34">
        <f t="shared" si="9"/>
        <v>8</v>
      </c>
      <c r="X34">
        <f t="shared" si="10"/>
        <v>5</v>
      </c>
      <c r="Y34" t="str">
        <f t="shared" si="11"/>
        <v>Priority Optimization</v>
      </c>
    </row>
    <row r="35" spans="1:25">
      <c r="A35" t="str">
        <v>P034</v>
      </c>
      <c r="B35" t="str">
        <f>_xlfn.XLOOKUP(A35,PAGESPEED_RAW[Page_ID],PAGESPEED_RAW[URL])</f>
        <v>https://pmb.widyatama.ac.id/jalur-doktoral-reguler/</v>
      </c>
      <c r="C35" t="str">
        <f>_xlfn.XLOOKUP(A35,PAGESPEED_RAW[Page_ID],PAGESPEED_RAW[Final_Page_Type])</f>
        <v>Admission</v>
      </c>
      <c r="D35" t="str">
        <f>_xlfn.XLOOKUP(A35,PAGESPEED_RAW[Page_ID],PAGESPEED_RAW[Speed_Test_Segment])</f>
        <v>Core PMB Website</v>
      </c>
      <c r="E35" t="str">
        <f>_xlfn.XLOOKUP(A35,PAGESPEED_RAW[Page_ID],PAGESPEED_RAW[Test_Priority])</f>
        <v>P1 - Critical</v>
      </c>
      <c r="F35">
        <f>AVERAGEIFS(PAGESPEED_RAW[Performance],PAGESPEED_RAW[Page_ID],A35,PAGESPEED_RAW[Device],"mobile")</f>
        <v>59</v>
      </c>
      <c r="G35">
        <f>AVERAGEIFS(PAGESPEED_RAW[Performance],PAGESPEED_RAW[Page_ID],A35,PAGESPEED_RAW[Device],"desktop")</f>
        <v>77</v>
      </c>
      <c r="H35">
        <f t="shared" si="0"/>
        <v>18</v>
      </c>
      <c r="I35" s="14">
        <f>AVERAGEIFS(PAGESPEED_RAW[LCP],PAGESPEED_RAW[Page_ID],A35,PAGESPEED_RAW[Device],"mobile")</f>
        <v>15901.072989273216</v>
      </c>
      <c r="J35" s="14">
        <f>AVERAGEIFS(PAGESPEED_RAW[LCP],PAGESPEED_RAW[Page_ID],A35,PAGESPEED_RAW[Device],"desktop")</f>
        <v>2881.0897604157285</v>
      </c>
      <c r="K35" s="14">
        <f t="shared" si="1"/>
        <v>13019.983228857487</v>
      </c>
      <c r="L35" s="14">
        <f>AVERAGEIFS(PAGESPEED_RAW[FCP],PAGESPEED_RAW[Page_ID],A35,PAGESPEED_RAW[Device],"mobile")</f>
        <v>3633.0154400385645</v>
      </c>
      <c r="M35" s="14">
        <f>AVERAGEIFS(PAGESPEED_RAW[FCP],PAGESPEED_RAW[Page_ID],A35,PAGESPEED_RAW[Device],"desktop")</f>
        <v>805.20392825914041</v>
      </c>
      <c r="N35" s="14">
        <f>AVERAGEIFS(PAGESPEED_RAW[TBT],PAGESPEED_RAW[Page_ID],A35,PAGESPEED_RAW[Device],"mobile")</f>
        <v>34</v>
      </c>
      <c r="O35" s="15">
        <f>AVERAGEIFS(PAGESPEED_RAW[CLS],PAGESPEED_RAW[Page_ID],A35,PAGESPEED_RAW[Device],"mobile")</f>
        <v>0</v>
      </c>
      <c r="P35" t="str">
        <f t="shared" si="2"/>
        <v>Critical</v>
      </c>
      <c r="Q35" t="str">
        <f t="shared" si="3"/>
        <v>Slow LCP</v>
      </c>
      <c r="R35" t="str">
        <f t="shared" si="4"/>
        <v>Optimize images, reduce render blocking resources, improve server response time</v>
      </c>
      <c r="S35">
        <f t="shared" si="5"/>
        <v>2</v>
      </c>
      <c r="T35">
        <f t="shared" si="6"/>
        <v>3</v>
      </c>
      <c r="U35">
        <f t="shared" si="7"/>
        <v>1</v>
      </c>
      <c r="V35">
        <f t="shared" si="8"/>
        <v>2</v>
      </c>
      <c r="W35">
        <f t="shared" si="9"/>
        <v>8</v>
      </c>
      <c r="X35">
        <f t="shared" si="10"/>
        <v>5</v>
      </c>
      <c r="Y35" t="str">
        <f t="shared" si="11"/>
        <v>Priority Optimization</v>
      </c>
    </row>
    <row r="36" spans="1:25">
      <c r="A36" t="str">
        <v>P035</v>
      </c>
      <c r="B36" t="str">
        <f>_xlfn.XLOOKUP(A36,PAGESPEED_RAW[Page_ID],PAGESPEED_RAW[URL])</f>
        <v>https://pmb.widyatama.ac.id/jalur-seleksi-reguler/</v>
      </c>
      <c r="C36" t="str">
        <f>_xlfn.XLOOKUP(A36,PAGESPEED_RAW[Page_ID],PAGESPEED_RAW[Final_Page_Type])</f>
        <v>Admission</v>
      </c>
      <c r="D36" t="str">
        <f>_xlfn.XLOOKUP(A36,PAGESPEED_RAW[Page_ID],PAGESPEED_RAW[Speed_Test_Segment])</f>
        <v>Core PMB Website</v>
      </c>
      <c r="E36" t="str">
        <f>_xlfn.XLOOKUP(A36,PAGESPEED_RAW[Page_ID],PAGESPEED_RAW[Test_Priority])</f>
        <v>P1 - Critical</v>
      </c>
      <c r="F36">
        <f>AVERAGEIFS(PAGESPEED_RAW[Performance],PAGESPEED_RAW[Page_ID],A36,PAGESPEED_RAW[Device],"mobile")</f>
        <v>59</v>
      </c>
      <c r="G36">
        <f>AVERAGEIFS(PAGESPEED_RAW[Performance],PAGESPEED_RAW[Page_ID],A36,PAGESPEED_RAW[Device],"desktop")</f>
        <v>78</v>
      </c>
      <c r="H36">
        <f t="shared" si="0"/>
        <v>19</v>
      </c>
      <c r="I36" s="14">
        <f>AVERAGEIFS(PAGESPEED_RAW[LCP],PAGESPEED_RAW[Page_ID],A36,PAGESPEED_RAW[Device],"mobile")</f>
        <v>14251.056972541275</v>
      </c>
      <c r="J36" s="14">
        <f>AVERAGEIFS(PAGESPEED_RAW[LCP],PAGESPEED_RAW[Page_ID],A36,PAGESPEED_RAW[Device],"desktop")</f>
        <v>2681.0558762021797</v>
      </c>
      <c r="K36" s="14">
        <f t="shared" si="1"/>
        <v>11570.001096339096</v>
      </c>
      <c r="L36" s="14">
        <f>AVERAGEIFS(PAGESPEED_RAW[FCP],PAGESPEED_RAW[Page_ID],A36,PAGESPEED_RAW[Device],"mobile")</f>
        <v>3636.0134773753543</v>
      </c>
      <c r="M36" s="14">
        <f>AVERAGEIFS(PAGESPEED_RAW[FCP],PAGESPEED_RAW[Page_ID],A36,PAGESPEED_RAW[Device],"desktop")</f>
        <v>805.20223685008034</v>
      </c>
      <c r="N36" s="14">
        <f>AVERAGEIFS(PAGESPEED_RAW[TBT],PAGESPEED_RAW[Page_ID],A36,PAGESPEED_RAW[Device],"mobile")</f>
        <v>58</v>
      </c>
      <c r="O36" s="15">
        <f>AVERAGEIFS(PAGESPEED_RAW[CLS],PAGESPEED_RAW[Page_ID],A36,PAGESPEED_RAW[Device],"mobile")</f>
        <v>0</v>
      </c>
      <c r="P36" t="str">
        <f t="shared" si="2"/>
        <v>Critical</v>
      </c>
      <c r="Q36" t="str">
        <f t="shared" si="3"/>
        <v>Slow LCP</v>
      </c>
      <c r="R36" t="str">
        <f t="shared" si="4"/>
        <v>Optimize images, reduce render blocking resources, improve server response time</v>
      </c>
      <c r="S36">
        <f t="shared" si="5"/>
        <v>2</v>
      </c>
      <c r="T36">
        <f t="shared" si="6"/>
        <v>2</v>
      </c>
      <c r="U36">
        <f t="shared" si="7"/>
        <v>1</v>
      </c>
      <c r="V36">
        <f t="shared" si="8"/>
        <v>2</v>
      </c>
      <c r="W36">
        <f t="shared" si="9"/>
        <v>7</v>
      </c>
      <c r="X36">
        <f t="shared" si="10"/>
        <v>44</v>
      </c>
      <c r="Y36" t="str">
        <f t="shared" si="11"/>
        <v>Priority Optimization</v>
      </c>
    </row>
    <row r="37" spans="1:25">
      <c r="A37" t="str">
        <v>P036</v>
      </c>
      <c r="B37" t="str">
        <f>_xlfn.XLOOKUP(A37,PAGESPEED_RAW[Page_ID],PAGESPEED_RAW[URL])</f>
        <v>https://pmb.widyatama.ac.id/jalur-seleksi-khusus/</v>
      </c>
      <c r="C37" t="str">
        <f>_xlfn.XLOOKUP(A37,PAGESPEED_RAW[Page_ID],PAGESPEED_RAW[Final_Page_Type])</f>
        <v>Admission</v>
      </c>
      <c r="D37" t="str">
        <f>_xlfn.XLOOKUP(A37,PAGESPEED_RAW[Page_ID],PAGESPEED_RAW[Speed_Test_Segment])</f>
        <v>Core PMB Website</v>
      </c>
      <c r="E37" t="str">
        <f>_xlfn.XLOOKUP(A37,PAGESPEED_RAW[Page_ID],PAGESPEED_RAW[Test_Priority])</f>
        <v>P1 - Critical</v>
      </c>
      <c r="F37">
        <f>AVERAGEIFS(PAGESPEED_RAW[Performance],PAGESPEED_RAW[Page_ID],A37,PAGESPEED_RAW[Device],"mobile")</f>
        <v>57</v>
      </c>
      <c r="G37">
        <f>AVERAGEIFS(PAGESPEED_RAW[Performance],PAGESPEED_RAW[Page_ID],A37,PAGESPEED_RAW[Device],"desktop")</f>
        <v>76</v>
      </c>
      <c r="H37">
        <f t="shared" si="0"/>
        <v>19</v>
      </c>
      <c r="I37" s="14">
        <f>AVERAGEIFS(PAGESPEED_RAW[LCP],PAGESPEED_RAW[Page_ID],A37,PAGESPEED_RAW[Device],"mobile")</f>
        <v>18181.55073299896</v>
      </c>
      <c r="J37" s="14">
        <f>AVERAGEIFS(PAGESPEED_RAW[LCP],PAGESPEED_RAW[Page_ID],A37,PAGESPEED_RAW[Device],"desktop")</f>
        <v>3041.0914449666589</v>
      </c>
      <c r="K37" s="14">
        <f t="shared" si="1"/>
        <v>15140.4592880323</v>
      </c>
      <c r="L37" s="14">
        <f>AVERAGEIFS(PAGESPEED_RAW[FCP],PAGESPEED_RAW[Page_ID],A37,PAGESPEED_RAW[Device],"mobile")</f>
        <v>4446.0115108485024</v>
      </c>
      <c r="M37" s="14">
        <f>AVERAGEIFS(PAGESPEED_RAW[FCP],PAGESPEED_RAW[Page_ID],A37,PAGESPEED_RAW[Device],"desktop")</f>
        <v>805.70374134072199</v>
      </c>
      <c r="N37" s="14">
        <f>AVERAGEIFS(PAGESPEED_RAW[TBT],PAGESPEED_RAW[Page_ID],A37,PAGESPEED_RAW[Device],"mobile")</f>
        <v>3.5</v>
      </c>
      <c r="O37" s="15">
        <f>AVERAGEIFS(PAGESPEED_RAW[CLS],PAGESPEED_RAW[Page_ID],A37,PAGESPEED_RAW[Device],"mobile")</f>
        <v>0</v>
      </c>
      <c r="P37" t="str">
        <f t="shared" si="2"/>
        <v>Critical</v>
      </c>
      <c r="Q37" t="str">
        <f t="shared" si="3"/>
        <v>Slow LCP</v>
      </c>
      <c r="R37" t="str">
        <f t="shared" si="4"/>
        <v>Optimize images, reduce render blocking resources, improve server response time</v>
      </c>
      <c r="S37">
        <f t="shared" si="5"/>
        <v>2</v>
      </c>
      <c r="T37">
        <f t="shared" si="6"/>
        <v>3</v>
      </c>
      <c r="U37">
        <f t="shared" si="7"/>
        <v>1</v>
      </c>
      <c r="V37">
        <f t="shared" si="8"/>
        <v>2</v>
      </c>
      <c r="W37">
        <f t="shared" si="9"/>
        <v>8</v>
      </c>
      <c r="X37">
        <f t="shared" si="10"/>
        <v>5</v>
      </c>
      <c r="Y37" t="str">
        <f t="shared" si="11"/>
        <v>Priority Optimization</v>
      </c>
    </row>
    <row r="38" spans="1:25">
      <c r="A38" t="str">
        <v>P037</v>
      </c>
      <c r="B38" t="str">
        <f>_xlfn.XLOOKUP(A38,PAGESPEED_RAW[Page_ID],PAGESPEED_RAW[URL])</f>
        <v>https://pmb.widyatama.ac.id/jalur-seleksi-prioritas/</v>
      </c>
      <c r="C38" t="str">
        <f>_xlfn.XLOOKUP(A38,PAGESPEED_RAW[Page_ID],PAGESPEED_RAW[Final_Page_Type])</f>
        <v>Admission</v>
      </c>
      <c r="D38" t="str">
        <f>_xlfn.XLOOKUP(A38,PAGESPEED_RAW[Page_ID],PAGESPEED_RAW[Speed_Test_Segment])</f>
        <v>Core PMB Website</v>
      </c>
      <c r="E38" t="str">
        <f>_xlfn.XLOOKUP(A38,PAGESPEED_RAW[Page_ID],PAGESPEED_RAW[Test_Priority])</f>
        <v>P1 - Critical</v>
      </c>
      <c r="F38">
        <f>AVERAGEIFS(PAGESPEED_RAW[Performance],PAGESPEED_RAW[Page_ID],A38,PAGESPEED_RAW[Device],"mobile")</f>
        <v>54</v>
      </c>
      <c r="G38">
        <f>AVERAGEIFS(PAGESPEED_RAW[Performance],PAGESPEED_RAW[Page_ID],A38,PAGESPEED_RAW[Device],"desktop")</f>
        <v>81</v>
      </c>
      <c r="H38">
        <f t="shared" si="0"/>
        <v>27</v>
      </c>
      <c r="I38" s="14">
        <f>AVERAGEIFS(PAGESPEED_RAW[LCP],PAGESPEED_RAW[Page_ID],A38,PAGESPEED_RAW[Device],"mobile")</f>
        <v>13398.072347391575</v>
      </c>
      <c r="J38" s="14">
        <f>AVERAGEIFS(PAGESPEED_RAW[LCP],PAGESPEED_RAW[Page_ID],A38,PAGESPEED_RAW[Device],"desktop")</f>
        <v>2361.0460944563092</v>
      </c>
      <c r="K38" s="14">
        <f t="shared" si="1"/>
        <v>11037.026252935266</v>
      </c>
      <c r="L38" s="14">
        <f>AVERAGEIFS(PAGESPEED_RAW[FCP],PAGESPEED_RAW[Page_ID],A38,PAGESPEED_RAW[Device],"mobile")</f>
        <v>4790.02271371596</v>
      </c>
      <c r="M38" s="14">
        <f>AVERAGEIFS(PAGESPEED_RAW[FCP],PAGESPEED_RAW[Page_ID],A38,PAGESPEED_RAW[Device],"desktop")</f>
        <v>805.7030696145905</v>
      </c>
      <c r="N38" s="14">
        <f>AVERAGEIFS(PAGESPEED_RAW[TBT],PAGESPEED_RAW[Page_ID],A38,PAGESPEED_RAW[Device],"mobile")</f>
        <v>184</v>
      </c>
      <c r="O38" s="15">
        <f>AVERAGEIFS(PAGESPEED_RAW[CLS],PAGESPEED_RAW[Page_ID],A38,PAGESPEED_RAW[Device],"mobile")</f>
        <v>0</v>
      </c>
      <c r="P38" t="str">
        <f t="shared" si="2"/>
        <v>Critical</v>
      </c>
      <c r="Q38" t="str">
        <f t="shared" si="3"/>
        <v>Slow LCP</v>
      </c>
      <c r="R38" t="str">
        <f t="shared" si="4"/>
        <v>Optimize images, reduce render blocking resources, improve server response time</v>
      </c>
      <c r="S38">
        <f t="shared" si="5"/>
        <v>2</v>
      </c>
      <c r="T38">
        <f t="shared" si="6"/>
        <v>2</v>
      </c>
      <c r="U38">
        <f t="shared" si="7"/>
        <v>1</v>
      </c>
      <c r="V38">
        <f t="shared" si="8"/>
        <v>3</v>
      </c>
      <c r="W38">
        <f t="shared" si="9"/>
        <v>8</v>
      </c>
      <c r="X38">
        <f t="shared" si="10"/>
        <v>5</v>
      </c>
      <c r="Y38" t="str">
        <f t="shared" si="11"/>
        <v>Priority Optimization</v>
      </c>
    </row>
    <row r="39" spans="1:25">
      <c r="A39" t="str">
        <v>P038</v>
      </c>
      <c r="B39" t="str">
        <f>_xlfn.XLOOKUP(A39,PAGESPEED_RAW[Page_ID],PAGESPEED_RAW[URL])</f>
        <v>https://online.pmb.widyatama.ac.id/register/fst</v>
      </c>
      <c r="C39" t="str">
        <f>_xlfn.XLOOKUP(A39,PAGESPEED_RAW[Page_ID],PAGESPEED_RAW[Final_Page_Type])</f>
        <v>Registration System</v>
      </c>
      <c r="D39" t="str">
        <f>_xlfn.XLOOKUP(A39,PAGESPEED_RAW[Page_ID],PAGESPEED_RAW[Speed_Test_Segment])</f>
        <v>Registration System</v>
      </c>
      <c r="E39" t="str">
        <f>_xlfn.XLOOKUP(A39,PAGESPEED_RAW[Page_ID],PAGESPEED_RAW[Test_Priority])</f>
        <v>P1 - Critical</v>
      </c>
      <c r="F39">
        <f>AVERAGEIFS(PAGESPEED_RAW[Performance],PAGESPEED_RAW[Page_ID],A39,PAGESPEED_RAW[Device],"mobile")</f>
        <v>86</v>
      </c>
      <c r="G39">
        <f>AVERAGEIFS(PAGESPEED_RAW[Performance],PAGESPEED_RAW[Page_ID],A39,PAGESPEED_RAW[Device],"desktop")</f>
        <v>80</v>
      </c>
      <c r="H39">
        <f t="shared" si="0"/>
        <v>-6</v>
      </c>
      <c r="I39" s="14">
        <f>AVERAGEIFS(PAGESPEED_RAW[LCP],PAGESPEED_RAW[Page_ID],A39,PAGESPEED_RAW[Device],"mobile")</f>
        <v>2272.1789672809105</v>
      </c>
      <c r="J39" s="14">
        <f>AVERAGEIFS(PAGESPEED_RAW[LCP],PAGESPEED_RAW[Page_ID],A39,PAGESPEED_RAW[Device],"desktop")</f>
        <v>589.06863878842273</v>
      </c>
      <c r="K39" s="14">
        <f t="shared" si="1"/>
        <v>1683.1103284924877</v>
      </c>
      <c r="L39" s="14">
        <f>AVERAGEIFS(PAGESPEED_RAW[FCP],PAGESPEED_RAW[Page_ID],A39,PAGESPEED_RAW[Device],"mobile")</f>
        <v>1951.1514338530781</v>
      </c>
      <c r="M39" s="14">
        <f>AVERAGEIFS(PAGESPEED_RAW[FCP],PAGESPEED_RAW[Page_ID],A39,PAGESPEED_RAW[Device],"desktop")</f>
        <v>491.7487410987672</v>
      </c>
      <c r="N39" s="14">
        <f>AVERAGEIFS(PAGESPEED_RAW[TBT],PAGESPEED_RAW[Page_ID],A39,PAGESPEED_RAW[Device],"mobile")</f>
        <v>422.5</v>
      </c>
      <c r="O39" s="15">
        <f>AVERAGEIFS(PAGESPEED_RAW[CLS],PAGESPEED_RAW[Page_ID],A39,PAGESPEED_RAW[Device],"mobile")</f>
        <v>4.1088004629033512E-3</v>
      </c>
      <c r="P39" t="str">
        <f t="shared" si="2"/>
        <v>Critical</v>
      </c>
      <c r="Q39" t="str">
        <f t="shared" si="3"/>
        <v>High JavaScript Blocking</v>
      </c>
      <c r="R39" t="str">
        <f t="shared" si="4"/>
        <v>Reduce unused JavaScript, defer scripts, optimize third-party code</v>
      </c>
      <c r="S39">
        <f t="shared" si="5"/>
        <v>1</v>
      </c>
      <c r="T39">
        <f t="shared" si="6"/>
        <v>1</v>
      </c>
      <c r="U39">
        <f t="shared" si="7"/>
        <v>2</v>
      </c>
      <c r="V39">
        <f t="shared" si="8"/>
        <v>1</v>
      </c>
      <c r="W39">
        <f t="shared" si="9"/>
        <v>5</v>
      </c>
      <c r="X39">
        <f t="shared" si="10"/>
        <v>83</v>
      </c>
      <c r="Y39" t="str">
        <f t="shared" si="11"/>
        <v>Routine Optimization</v>
      </c>
    </row>
    <row r="40" spans="1:25">
      <c r="A40" t="str">
        <v>P039</v>
      </c>
      <c r="B40" t="str">
        <f>_xlfn.XLOOKUP(A40,PAGESPEED_RAW[Page_ID],PAGESPEED_RAW[URL])</f>
        <v>https://online.pmb.widyatama.ac.id/register/kk</v>
      </c>
      <c r="C40" t="str">
        <f>_xlfn.XLOOKUP(A40,PAGESPEED_RAW[Page_ID],PAGESPEED_RAW[Final_Page_Type])</f>
        <v>Registration System</v>
      </c>
      <c r="D40" t="str">
        <f>_xlfn.XLOOKUP(A40,PAGESPEED_RAW[Page_ID],PAGESPEED_RAW[Speed_Test_Segment])</f>
        <v>Registration System</v>
      </c>
      <c r="E40" t="str">
        <f>_xlfn.XLOOKUP(A40,PAGESPEED_RAW[Page_ID],PAGESPEED_RAW[Test_Priority])</f>
        <v>P1 - Critical</v>
      </c>
      <c r="F40">
        <f>AVERAGEIFS(PAGESPEED_RAW[Performance],PAGESPEED_RAW[Page_ID],A40,PAGESPEED_RAW[Device],"mobile")</f>
        <v>78</v>
      </c>
      <c r="G40">
        <f>AVERAGEIFS(PAGESPEED_RAW[Performance],PAGESPEED_RAW[Page_ID],A40,PAGESPEED_RAW[Device],"desktop")</f>
        <v>81</v>
      </c>
      <c r="H40">
        <f t="shared" si="0"/>
        <v>3</v>
      </c>
      <c r="I40" s="14">
        <f>AVERAGEIFS(PAGESPEED_RAW[LCP],PAGESPEED_RAW[Page_ID],A40,PAGESPEED_RAW[Device],"mobile")</f>
        <v>2276.060525429632</v>
      </c>
      <c r="J40" s="14">
        <f>AVERAGEIFS(PAGESPEED_RAW[LCP],PAGESPEED_RAW[Page_ID],A40,PAGESPEED_RAW[Device],"desktop")</f>
        <v>584.05589416748649</v>
      </c>
      <c r="K40" s="14">
        <f t="shared" si="1"/>
        <v>1692.0046312621455</v>
      </c>
      <c r="L40" s="14">
        <f>AVERAGEIFS(PAGESPEED_RAW[FCP],PAGESPEED_RAW[Page_ID],A40,PAGESPEED_RAW[Device],"mobile")</f>
        <v>1951.0512138250731</v>
      </c>
      <c r="M40" s="14">
        <f>AVERAGEIFS(PAGESPEED_RAW[FCP],PAGESPEED_RAW[Page_ID],A40,PAGESPEED_RAW[Device],"desktop")</f>
        <v>461.71651543941994</v>
      </c>
      <c r="N40" s="14">
        <f>AVERAGEIFS(PAGESPEED_RAW[TBT],PAGESPEED_RAW[Page_ID],A40,PAGESPEED_RAW[Device],"mobile")</f>
        <v>780.5</v>
      </c>
      <c r="O40" s="15">
        <f>AVERAGEIFS(PAGESPEED_RAW[CLS],PAGESPEED_RAW[Page_ID],A40,PAGESPEED_RAW[Device],"mobile")</f>
        <v>1.303076718235063E-2</v>
      </c>
      <c r="P40" t="str">
        <f t="shared" si="2"/>
        <v>Critical</v>
      </c>
      <c r="Q40" t="str">
        <f t="shared" si="3"/>
        <v>High JavaScript Blocking</v>
      </c>
      <c r="R40" t="str">
        <f t="shared" si="4"/>
        <v>Reduce unused JavaScript, defer scripts, optimize third-party code</v>
      </c>
      <c r="S40">
        <f t="shared" si="5"/>
        <v>1</v>
      </c>
      <c r="T40">
        <f t="shared" si="6"/>
        <v>1</v>
      </c>
      <c r="U40">
        <f t="shared" si="7"/>
        <v>3</v>
      </c>
      <c r="V40">
        <f t="shared" si="8"/>
        <v>1</v>
      </c>
      <c r="W40">
        <f t="shared" si="9"/>
        <v>6</v>
      </c>
      <c r="X40">
        <f t="shared" si="10"/>
        <v>79</v>
      </c>
      <c r="Y40" t="str">
        <f t="shared" si="11"/>
        <v>Routine Optimization</v>
      </c>
    </row>
    <row r="41" spans="1:25">
      <c r="A41" t="str">
        <v>P040</v>
      </c>
      <c r="B41" t="str">
        <f>_xlfn.XLOOKUP(A41,PAGESPEED_RAW[Page_ID],PAGESPEED_RAW[URL])</f>
        <v>https://online.pmb.widyatama.ac.id/register/s3</v>
      </c>
      <c r="C41" t="str">
        <f>_xlfn.XLOOKUP(A41,PAGESPEED_RAW[Page_ID],PAGESPEED_RAW[Final_Page_Type])</f>
        <v>Registration System</v>
      </c>
      <c r="D41" t="str">
        <f>_xlfn.XLOOKUP(A41,PAGESPEED_RAW[Page_ID],PAGESPEED_RAW[Speed_Test_Segment])</f>
        <v>Registration System</v>
      </c>
      <c r="E41" t="str">
        <f>_xlfn.XLOOKUP(A41,PAGESPEED_RAW[Page_ID],PAGESPEED_RAW[Test_Priority])</f>
        <v>P1 - Critical</v>
      </c>
      <c r="F41">
        <f>AVERAGEIFS(PAGESPEED_RAW[Performance],PAGESPEED_RAW[Page_ID],A41,PAGESPEED_RAW[Device],"mobile")</f>
        <v>81</v>
      </c>
      <c r="G41">
        <f>AVERAGEIFS(PAGESPEED_RAW[Performance],PAGESPEED_RAW[Page_ID],A41,PAGESPEED_RAW[Device],"desktop")</f>
        <v>76</v>
      </c>
      <c r="H41">
        <f t="shared" si="0"/>
        <v>-5</v>
      </c>
      <c r="I41" s="14">
        <f>AVERAGEIFS(PAGESPEED_RAW[LCP],PAGESPEED_RAW[Page_ID],A41,PAGESPEED_RAW[Device],"mobile")</f>
        <v>2284.0885657900558</v>
      </c>
      <c r="J41" s="14">
        <f>AVERAGEIFS(PAGESPEED_RAW[LCP],PAGESPEED_RAW[Page_ID],A41,PAGESPEED_RAW[Device],"desktop")</f>
        <v>600.06004915242045</v>
      </c>
      <c r="K41" s="14">
        <f t="shared" si="1"/>
        <v>1684.0285166376352</v>
      </c>
      <c r="L41" s="14">
        <f>AVERAGEIFS(PAGESPEED_RAW[FCP],PAGESPEED_RAW[Page_ID],A41,PAGESPEED_RAW[Device],"mobile")</f>
        <v>1951.0749402838933</v>
      </c>
      <c r="M41" s="14">
        <f>AVERAGEIFS(PAGESPEED_RAW[FCP],PAGESPEED_RAW[Page_ID],A41,PAGESPEED_RAW[Device],"desktop")</f>
        <v>463.71798079131997</v>
      </c>
      <c r="N41" s="14">
        <f>AVERAGEIFS(PAGESPEED_RAW[TBT],PAGESPEED_RAW[Page_ID],A41,PAGESPEED_RAW[Device],"mobile")</f>
        <v>607.5</v>
      </c>
      <c r="O41" s="15">
        <f>AVERAGEIFS(PAGESPEED_RAW[CLS],PAGESPEED_RAW[Page_ID],A41,PAGESPEED_RAW[Device],"mobile")</f>
        <v>1.5026470264332259E-2</v>
      </c>
      <c r="P41" t="str">
        <f t="shared" si="2"/>
        <v>Critical</v>
      </c>
      <c r="Q41" t="str">
        <f t="shared" si="3"/>
        <v>High JavaScript Blocking</v>
      </c>
      <c r="R41" t="str">
        <f t="shared" si="4"/>
        <v>Reduce unused JavaScript, defer scripts, optimize third-party code</v>
      </c>
      <c r="S41">
        <f t="shared" si="5"/>
        <v>1</v>
      </c>
      <c r="T41">
        <f t="shared" si="6"/>
        <v>1</v>
      </c>
      <c r="U41">
        <f t="shared" si="7"/>
        <v>3</v>
      </c>
      <c r="V41">
        <f t="shared" si="8"/>
        <v>1</v>
      </c>
      <c r="W41">
        <f t="shared" si="9"/>
        <v>6</v>
      </c>
      <c r="X41">
        <f t="shared" si="10"/>
        <v>79</v>
      </c>
      <c r="Y41" t="str">
        <f t="shared" si="11"/>
        <v>Routine Optimization</v>
      </c>
    </row>
    <row r="42" spans="1:25">
      <c r="A42" t="str">
        <v>P041</v>
      </c>
      <c r="B42" t="str">
        <f>_xlfn.XLOOKUP(A42,PAGESPEED_RAW[Page_ID],PAGESPEED_RAW[URL])</f>
        <v>https://pmb.widyatama.ac.id/aktivitas-civitas/3/</v>
      </c>
      <c r="C42" t="str">
        <f>_xlfn.XLOOKUP(A42,PAGESPEED_RAW[Page_ID],PAGESPEED_RAW[Final_Page_Type])</f>
        <v>Campus Life</v>
      </c>
      <c r="D42" t="str">
        <f>_xlfn.XLOOKUP(A42,PAGESPEED_RAW[Page_ID],PAGESPEED_RAW[Speed_Test_Segment])</f>
        <v>Core PMB Website</v>
      </c>
      <c r="E42" t="str">
        <f>_xlfn.XLOOKUP(A42,PAGESPEED_RAW[Page_ID],PAGESPEED_RAW[Test_Priority])</f>
        <v>P2 - High</v>
      </c>
      <c r="F42">
        <f>AVERAGEIFS(PAGESPEED_RAW[Performance],PAGESPEED_RAW[Page_ID],A42,PAGESPEED_RAW[Device],"mobile")</f>
        <v>57</v>
      </c>
      <c r="G42">
        <f>AVERAGEIFS(PAGESPEED_RAW[Performance],PAGESPEED_RAW[Page_ID],A42,PAGESPEED_RAW[Device],"desktop")</f>
        <v>79</v>
      </c>
      <c r="H42">
        <f t="shared" si="0"/>
        <v>22</v>
      </c>
      <c r="I42" s="14">
        <f>AVERAGEIFS(PAGESPEED_RAW[LCP],PAGESPEED_RAW[Page_ID],A42,PAGESPEED_RAW[Device],"mobile")</f>
        <v>13951.081186257674</v>
      </c>
      <c r="J42" s="14">
        <f>AVERAGEIFS(PAGESPEED_RAW[LCP],PAGESPEED_RAW[Page_ID],A42,PAGESPEED_RAW[Device],"desktop")</f>
        <v>2301.0604825507576</v>
      </c>
      <c r="K42" s="14">
        <f t="shared" si="1"/>
        <v>11650.020703706916</v>
      </c>
      <c r="L42" s="14">
        <f>AVERAGEIFS(PAGESPEED_RAW[FCP],PAGESPEED_RAW[Page_ID],A42,PAGESPEED_RAW[Device],"mobile")</f>
        <v>4051.0223039169441</v>
      </c>
      <c r="M42" s="14">
        <f>AVERAGEIFS(PAGESPEED_RAW[FCP],PAGESPEED_RAW[Page_ID],A42,PAGESPEED_RAW[Device],"desktop")</f>
        <v>1201.0305137193011</v>
      </c>
      <c r="N42" s="14">
        <f>AVERAGEIFS(PAGESPEED_RAW[TBT],PAGESPEED_RAW[Page_ID],A42,PAGESPEED_RAW[Device],"mobile")</f>
        <v>16</v>
      </c>
      <c r="O42" s="15">
        <f>AVERAGEIFS(PAGESPEED_RAW[CLS],PAGESPEED_RAW[Page_ID],A42,PAGESPEED_RAW[Device],"mobile")</f>
        <v>1.098666717183961E-3</v>
      </c>
      <c r="P42" t="str">
        <f t="shared" si="2"/>
        <v>Critical</v>
      </c>
      <c r="Q42" t="str">
        <f t="shared" si="3"/>
        <v>Slow LCP</v>
      </c>
      <c r="R42" t="str">
        <f t="shared" si="4"/>
        <v>Optimize images, reduce render blocking resources, improve server response time</v>
      </c>
      <c r="S42">
        <f t="shared" si="5"/>
        <v>2</v>
      </c>
      <c r="T42">
        <f t="shared" si="6"/>
        <v>2</v>
      </c>
      <c r="U42">
        <f t="shared" si="7"/>
        <v>1</v>
      </c>
      <c r="V42">
        <f t="shared" si="8"/>
        <v>2</v>
      </c>
      <c r="W42">
        <f t="shared" si="9"/>
        <v>7</v>
      </c>
      <c r="X42">
        <f t="shared" si="10"/>
        <v>44</v>
      </c>
      <c r="Y42" t="str">
        <f t="shared" si="11"/>
        <v>Priority Optimization</v>
      </c>
    </row>
    <row r="43" spans="1:25">
      <c r="A43" t="str">
        <v>P042</v>
      </c>
      <c r="B43" t="str">
        <f>_xlfn.XLOOKUP(A43,PAGESPEED_RAW[Page_ID],PAGESPEED_RAW[URL])</f>
        <v>https://pmb.widyatama.ac.id/aktivitas-civitas/2/</v>
      </c>
      <c r="C43" t="str">
        <f>_xlfn.XLOOKUP(A43,PAGESPEED_RAW[Page_ID],PAGESPEED_RAW[Final_Page_Type])</f>
        <v>Campus Life</v>
      </c>
      <c r="D43" t="str">
        <f>_xlfn.XLOOKUP(A43,PAGESPEED_RAW[Page_ID],PAGESPEED_RAW[Speed_Test_Segment])</f>
        <v>Core PMB Website</v>
      </c>
      <c r="E43" t="str">
        <f>_xlfn.XLOOKUP(A43,PAGESPEED_RAW[Page_ID],PAGESPEED_RAW[Test_Priority])</f>
        <v>P2 - High</v>
      </c>
      <c r="F43">
        <f>AVERAGEIFS(PAGESPEED_RAW[Performance],PAGESPEED_RAW[Page_ID],A43,PAGESPEED_RAW[Device],"mobile")</f>
        <v>58</v>
      </c>
      <c r="G43">
        <f>AVERAGEIFS(PAGESPEED_RAW[Performance],PAGESPEED_RAW[Page_ID],A43,PAGESPEED_RAW[Device],"desktop")</f>
        <v>75</v>
      </c>
      <c r="H43">
        <f t="shared" si="0"/>
        <v>17</v>
      </c>
      <c r="I43" s="14">
        <f>AVERAGEIFS(PAGESPEED_RAW[LCP],PAGESPEED_RAW[Page_ID],A43,PAGESPEED_RAW[Device],"mobile")</f>
        <v>16201.088185322487</v>
      </c>
      <c r="J43" s="14">
        <f>AVERAGEIFS(PAGESPEED_RAW[LCP],PAGESPEED_RAW[Page_ID],A43,PAGESPEED_RAW[Device],"desktop")</f>
        <v>2781.0592965988808</v>
      </c>
      <c r="K43" s="14">
        <f t="shared" si="1"/>
        <v>13420.028888723606</v>
      </c>
      <c r="L43" s="14">
        <f>AVERAGEIFS(PAGESPEED_RAW[FCP],PAGESPEED_RAW[Page_ID],A43,PAGESPEED_RAW[Device],"mobile")</f>
        <v>4051.0207984251151</v>
      </c>
      <c r="M43" s="14">
        <f>AVERAGEIFS(PAGESPEED_RAW[FCP],PAGESPEED_RAW[Page_ID],A43,PAGESPEED_RAW[Device],"desktop")</f>
        <v>1241.0254755758158</v>
      </c>
      <c r="N43" s="14">
        <f>AVERAGEIFS(PAGESPEED_RAW[TBT],PAGESPEED_RAW[Page_ID],A43,PAGESPEED_RAW[Device],"mobile")</f>
        <v>26</v>
      </c>
      <c r="O43" s="15">
        <f>AVERAGEIFS(PAGESPEED_RAW[CLS],PAGESPEED_RAW[Page_ID],A43,PAGESPEED_RAW[Device],"mobile")</f>
        <v>1.098666717183961E-3</v>
      </c>
      <c r="P43" t="str">
        <f t="shared" si="2"/>
        <v>Critical</v>
      </c>
      <c r="Q43" t="str">
        <f t="shared" si="3"/>
        <v>Slow LCP</v>
      </c>
      <c r="R43" t="str">
        <f t="shared" si="4"/>
        <v>Optimize images, reduce render blocking resources, improve server response time</v>
      </c>
      <c r="S43">
        <f t="shared" si="5"/>
        <v>2</v>
      </c>
      <c r="T43">
        <f t="shared" si="6"/>
        <v>3</v>
      </c>
      <c r="U43">
        <f t="shared" si="7"/>
        <v>1</v>
      </c>
      <c r="V43">
        <f t="shared" si="8"/>
        <v>2</v>
      </c>
      <c r="W43">
        <f t="shared" si="9"/>
        <v>8</v>
      </c>
      <c r="X43">
        <f t="shared" si="10"/>
        <v>5</v>
      </c>
      <c r="Y43" t="str">
        <f t="shared" si="11"/>
        <v>Priority Optimization</v>
      </c>
    </row>
    <row r="44" spans="1:25">
      <c r="A44" t="str">
        <v>P043</v>
      </c>
      <c r="B44" t="str">
        <f>_xlfn.XLOOKUP(A44,PAGESPEED_RAW[Page_ID],PAGESPEED_RAW[URL])</f>
        <v>https://online.pmb.widyatama.ac.id/auth/login</v>
      </c>
      <c r="C44" t="str">
        <f>_xlfn.XLOOKUP(A44,PAGESPEED_RAW[Page_ID],PAGESPEED_RAW[Final_Page_Type])</f>
        <v>Registration System</v>
      </c>
      <c r="D44" t="str">
        <f>_xlfn.XLOOKUP(A44,PAGESPEED_RAW[Page_ID],PAGESPEED_RAW[Speed_Test_Segment])</f>
        <v>Registration System</v>
      </c>
      <c r="E44" t="str">
        <f>_xlfn.XLOOKUP(A44,PAGESPEED_RAW[Page_ID],PAGESPEED_RAW[Test_Priority])</f>
        <v>P1 - Critical</v>
      </c>
      <c r="F44">
        <f>AVERAGEIFS(PAGESPEED_RAW[Performance],PAGESPEED_RAW[Page_ID],A44,PAGESPEED_RAW[Device],"mobile")</f>
        <v>88</v>
      </c>
      <c r="G44">
        <f>AVERAGEIFS(PAGESPEED_RAW[Performance],PAGESPEED_RAW[Page_ID],A44,PAGESPEED_RAW[Device],"desktop")</f>
        <v>84</v>
      </c>
      <c r="H44">
        <f t="shared" si="0"/>
        <v>-4</v>
      </c>
      <c r="I44" s="14">
        <f>AVERAGEIFS(PAGESPEED_RAW[LCP],PAGESPEED_RAW[Page_ID],A44,PAGESPEED_RAW[Device],"mobile")</f>
        <v>2111.7949099208518</v>
      </c>
      <c r="J44" s="14">
        <f>AVERAGEIFS(PAGESPEED_RAW[LCP],PAGESPEED_RAW[Page_ID],A44,PAGESPEED_RAW[Device],"desktop")</f>
        <v>533.99321488037515</v>
      </c>
      <c r="K44" s="14">
        <f t="shared" si="1"/>
        <v>1577.8016950404767</v>
      </c>
      <c r="L44" s="14">
        <f>AVERAGEIFS(PAGESPEED_RAW[FCP],PAGESPEED_RAW[Page_ID],A44,PAGESPEED_RAW[Device],"mobile")</f>
        <v>1809.9957582673765</v>
      </c>
      <c r="M44" s="14">
        <f>AVERAGEIFS(PAGESPEED_RAW[FCP],PAGESPEED_RAW[Page_ID],A44,PAGESPEED_RAW[Device],"desktop")</f>
        <v>463.39592892822503</v>
      </c>
      <c r="N44" s="14">
        <f>AVERAGEIFS(PAGESPEED_RAW[TBT],PAGESPEED_RAW[Page_ID],A44,PAGESPEED_RAW[Device],"mobile")</f>
        <v>408.50000000000045</v>
      </c>
      <c r="O44" s="15">
        <f>AVERAGEIFS(PAGESPEED_RAW[CLS],PAGESPEED_RAW[Page_ID],A44,PAGESPEED_RAW[Device],"mobile")</f>
        <v>0</v>
      </c>
      <c r="P44" t="str">
        <f t="shared" si="2"/>
        <v>Critical</v>
      </c>
      <c r="Q44" t="str">
        <f t="shared" si="3"/>
        <v>High JavaScript Blocking</v>
      </c>
      <c r="R44" t="str">
        <f t="shared" si="4"/>
        <v>Reduce unused JavaScript, defer scripts, optimize third-party code</v>
      </c>
      <c r="S44">
        <f t="shared" si="5"/>
        <v>1</v>
      </c>
      <c r="T44">
        <f t="shared" si="6"/>
        <v>1</v>
      </c>
      <c r="U44">
        <f t="shared" si="7"/>
        <v>2</v>
      </c>
      <c r="V44">
        <f t="shared" si="8"/>
        <v>1</v>
      </c>
      <c r="W44">
        <f t="shared" si="9"/>
        <v>5</v>
      </c>
      <c r="X44">
        <f t="shared" si="10"/>
        <v>83</v>
      </c>
      <c r="Y44" t="str">
        <f t="shared" si="11"/>
        <v>Routine Optimization</v>
      </c>
    </row>
    <row r="45" spans="1:25">
      <c r="A45" t="str">
        <v>P044</v>
      </c>
      <c r="B45" t="str">
        <f>_xlfn.XLOOKUP(A45,PAGESPEED_RAW[Page_ID],PAGESPEED_RAW[URL])</f>
        <v>https://pmb.widyatama.ac.id/democracy-in-indonesia-why-it-feels-weak-at-the-grassroots/</v>
      </c>
      <c r="C45" t="str">
        <f>_xlfn.XLOOKUP(A45,PAGESPEED_RAW[Page_ID],PAGESPEED_RAW[Final_Page_Type])</f>
        <v>Content Review</v>
      </c>
      <c r="D45" t="str">
        <f>_xlfn.XLOOKUP(A45,PAGESPEED_RAW[Page_ID],PAGESPEED_RAW[Speed_Test_Segment])</f>
        <v>Content Audit</v>
      </c>
      <c r="E45" t="str">
        <f>_xlfn.XLOOKUP(A45,PAGESPEED_RAW[Page_ID],PAGESPEED_RAW[Test_Priority])</f>
        <v>P4 - Content Audit</v>
      </c>
      <c r="F45">
        <f>AVERAGEIFS(PAGESPEED_RAW[Performance],PAGESPEED_RAW[Page_ID],A45,PAGESPEED_RAW[Device],"mobile")</f>
        <v>56</v>
      </c>
      <c r="G45">
        <f>AVERAGEIFS(PAGESPEED_RAW[Performance],PAGESPEED_RAW[Page_ID],A45,PAGESPEED_RAW[Device],"desktop")</f>
        <v>66</v>
      </c>
      <c r="H45">
        <f t="shared" si="0"/>
        <v>10</v>
      </c>
      <c r="I45" s="14">
        <f>AVERAGEIFS(PAGESPEED_RAW[LCP],PAGESPEED_RAW[Page_ID],A45,PAGESPEED_RAW[Device],"mobile")</f>
        <v>34426.181123781018</v>
      </c>
      <c r="J45" s="14">
        <f>AVERAGEIFS(PAGESPEED_RAW[LCP],PAGESPEED_RAW[Page_ID],A45,PAGESPEED_RAW[Device],"desktop")</f>
        <v>5221.107358485433</v>
      </c>
      <c r="K45" s="14">
        <f t="shared" si="1"/>
        <v>29205.073765295587</v>
      </c>
      <c r="L45" s="14">
        <f>AVERAGEIFS(PAGESPEED_RAW[FCP],PAGESPEED_RAW[Page_ID],A45,PAGESPEED_RAW[Device],"mobile")</f>
        <v>6451.0326420880065</v>
      </c>
      <c r="M45" s="14">
        <f>AVERAGEIFS(PAGESPEED_RAW[FCP],PAGESPEED_RAW[Page_ID],A45,PAGESPEED_RAW[Device],"desktop")</f>
        <v>1281.0250642378439</v>
      </c>
      <c r="N45" s="14">
        <f>AVERAGEIFS(PAGESPEED_RAW[TBT],PAGESPEED_RAW[Page_ID],A45,PAGESPEED_RAW[Device],"mobile")</f>
        <v>24</v>
      </c>
      <c r="O45" s="15">
        <f>AVERAGEIFS(PAGESPEED_RAW[CLS],PAGESPEED_RAW[Page_ID],A45,PAGESPEED_RAW[Device],"mobile")</f>
        <v>2.8351045705843399E-3</v>
      </c>
      <c r="P45" t="str">
        <f t="shared" si="2"/>
        <v>Critical</v>
      </c>
      <c r="Q45" t="str">
        <f t="shared" si="3"/>
        <v>Slow LCP</v>
      </c>
      <c r="R45" t="str">
        <f t="shared" si="4"/>
        <v>Optimize images, reduce render blocking resources, improve server response time</v>
      </c>
      <c r="S45">
        <f t="shared" si="5"/>
        <v>2</v>
      </c>
      <c r="T45">
        <f t="shared" si="6"/>
        <v>3</v>
      </c>
      <c r="U45">
        <f t="shared" si="7"/>
        <v>1</v>
      </c>
      <c r="V45">
        <f t="shared" si="8"/>
        <v>1</v>
      </c>
      <c r="W45">
        <f t="shared" si="9"/>
        <v>7</v>
      </c>
      <c r="X45">
        <f t="shared" si="10"/>
        <v>44</v>
      </c>
      <c r="Y45" t="str">
        <f t="shared" si="11"/>
        <v>Priority Optimization</v>
      </c>
    </row>
    <row r="46" spans="1:25">
      <c r="A46" t="str">
        <v>P045</v>
      </c>
      <c r="B46" t="str">
        <f>_xlfn.XLOOKUP(A46,PAGESPEED_RAW[Page_ID],PAGESPEED_RAW[URL])</f>
        <v>https://pmb.widyatama.ac.id/2025/09/19/</v>
      </c>
      <c r="C46" t="str">
        <f>_xlfn.XLOOKUP(A46,PAGESPEED_RAW[Page_ID],PAGESPEED_RAW[Final_Page_Type])</f>
        <v>Content Review</v>
      </c>
      <c r="D46" t="str">
        <f>_xlfn.XLOOKUP(A46,PAGESPEED_RAW[Page_ID],PAGESPEED_RAW[Speed_Test_Segment])</f>
        <v>Content Audit</v>
      </c>
      <c r="E46" t="str">
        <f>_xlfn.XLOOKUP(A46,PAGESPEED_RAW[Page_ID],PAGESPEED_RAW[Test_Priority])</f>
        <v>P4 - Content Audit</v>
      </c>
      <c r="F46">
        <f>AVERAGEIFS(PAGESPEED_RAW[Performance],PAGESPEED_RAW[Page_ID],A46,PAGESPEED_RAW[Device],"mobile")</f>
        <v>56</v>
      </c>
      <c r="G46">
        <f>AVERAGEIFS(PAGESPEED_RAW[Performance],PAGESPEED_RAW[Page_ID],A46,PAGESPEED_RAW[Device],"desktop")</f>
        <v>75</v>
      </c>
      <c r="H46">
        <f t="shared" si="0"/>
        <v>19</v>
      </c>
      <c r="I46" s="14">
        <f>AVERAGEIFS(PAGESPEED_RAW[LCP],PAGESPEED_RAW[Page_ID],A46,PAGESPEED_RAW[Device],"mobile")</f>
        <v>16051.108862632724</v>
      </c>
      <c r="J46" s="14">
        <f>AVERAGEIFS(PAGESPEED_RAW[LCP],PAGESPEED_RAW[Page_ID],A46,PAGESPEED_RAW[Device],"desktop")</f>
        <v>2701.0854347198879</v>
      </c>
      <c r="K46" s="14">
        <f t="shared" si="1"/>
        <v>13350.023427912836</v>
      </c>
      <c r="L46" s="14">
        <f>AVERAGEIFS(PAGESPEED_RAW[FCP],PAGESPEED_RAW[Page_ID],A46,PAGESPEED_RAW[Device],"mobile")</f>
        <v>6601.0435450530895</v>
      </c>
      <c r="M46" s="14">
        <f>AVERAGEIFS(PAGESPEED_RAW[FCP],PAGESPEED_RAW[Page_ID],A46,PAGESPEED_RAW[Device],"desktop")</f>
        <v>1281.0391304060554</v>
      </c>
      <c r="N46" s="14">
        <f>AVERAGEIFS(PAGESPEED_RAW[TBT],PAGESPEED_RAW[Page_ID],A46,PAGESPEED_RAW[Device],"mobile")</f>
        <v>20</v>
      </c>
      <c r="O46" s="15">
        <f>AVERAGEIFS(PAGESPEED_RAW[CLS],PAGESPEED_RAW[Page_ID],A46,PAGESPEED_RAW[Device],"mobile")</f>
        <v>1.19243366652339E-3</v>
      </c>
      <c r="P46" t="str">
        <f t="shared" si="2"/>
        <v>Critical</v>
      </c>
      <c r="Q46" t="str">
        <f t="shared" si="3"/>
        <v>Slow LCP</v>
      </c>
      <c r="R46" t="str">
        <f t="shared" si="4"/>
        <v>Optimize images, reduce render blocking resources, improve server response time</v>
      </c>
      <c r="S46">
        <f t="shared" si="5"/>
        <v>2</v>
      </c>
      <c r="T46">
        <f t="shared" si="6"/>
        <v>3</v>
      </c>
      <c r="U46">
        <f t="shared" si="7"/>
        <v>1</v>
      </c>
      <c r="V46">
        <f t="shared" si="8"/>
        <v>2</v>
      </c>
      <c r="W46">
        <f t="shared" si="9"/>
        <v>8</v>
      </c>
      <c r="X46">
        <f t="shared" si="10"/>
        <v>5</v>
      </c>
      <c r="Y46" t="str">
        <f t="shared" si="11"/>
        <v>Priority Optimization</v>
      </c>
    </row>
    <row r="47" spans="1:25">
      <c r="A47" t="str">
        <v>P046</v>
      </c>
      <c r="B47" t="str">
        <f>_xlfn.XLOOKUP(A47,PAGESPEED_RAW[Page_ID],PAGESPEED_RAW[URL])</f>
        <v>https://pmb.widyatama.ac.id/democracy-in-indonesia-why-it-feels-weak-at-the-grassroots-4/</v>
      </c>
      <c r="C47" t="str">
        <f>_xlfn.XLOOKUP(A47,PAGESPEED_RAW[Page_ID],PAGESPEED_RAW[Final_Page_Type])</f>
        <v>Content Review</v>
      </c>
      <c r="D47" t="str">
        <f>_xlfn.XLOOKUP(A47,PAGESPEED_RAW[Page_ID],PAGESPEED_RAW[Speed_Test_Segment])</f>
        <v>Content Audit</v>
      </c>
      <c r="E47" t="str">
        <f>_xlfn.XLOOKUP(A47,PAGESPEED_RAW[Page_ID],PAGESPEED_RAW[Test_Priority])</f>
        <v>P4 - Content Audit</v>
      </c>
      <c r="F47">
        <f>AVERAGEIFS(PAGESPEED_RAW[Performance],PAGESPEED_RAW[Page_ID],A47,PAGESPEED_RAW[Device],"mobile")</f>
        <v>56</v>
      </c>
      <c r="G47">
        <f>AVERAGEIFS(PAGESPEED_RAW[Performance],PAGESPEED_RAW[Page_ID],A47,PAGESPEED_RAW[Device],"desktop")</f>
        <v>66</v>
      </c>
      <c r="H47">
        <f t="shared" si="0"/>
        <v>10</v>
      </c>
      <c r="I47" s="14">
        <f>AVERAGEIFS(PAGESPEED_RAW[LCP],PAGESPEED_RAW[Page_ID],A47,PAGESPEED_RAW[Device],"mobile")</f>
        <v>35776.216109769855</v>
      </c>
      <c r="J47" s="14">
        <f>AVERAGEIFS(PAGESPEED_RAW[LCP],PAGESPEED_RAW[Page_ID],A47,PAGESPEED_RAW[Device],"desktop")</f>
        <v>5201.1587814272816</v>
      </c>
      <c r="K47" s="14">
        <f t="shared" si="1"/>
        <v>30575.057328342573</v>
      </c>
      <c r="L47" s="14">
        <f>AVERAGEIFS(PAGESPEED_RAW[FCP],PAGESPEED_RAW[Page_ID],A47,PAGESPEED_RAW[Device],"mobile")</f>
        <v>7351.0429478189544</v>
      </c>
      <c r="M47" s="14">
        <f>AVERAGEIFS(PAGESPEED_RAW[FCP],PAGESPEED_RAW[Page_ID],A47,PAGESPEED_RAW[Device],"desktop")</f>
        <v>1321.0384548769191</v>
      </c>
      <c r="N47" s="14">
        <f>AVERAGEIFS(PAGESPEED_RAW[TBT],PAGESPEED_RAW[Page_ID],A47,PAGESPEED_RAW[Device],"mobile")</f>
        <v>0</v>
      </c>
      <c r="O47" s="15">
        <f>AVERAGEIFS(PAGESPEED_RAW[CLS],PAGESPEED_RAW[Page_ID],A47,PAGESPEED_RAW[Device],"mobile")</f>
        <v>0</v>
      </c>
      <c r="P47" t="str">
        <f t="shared" si="2"/>
        <v>Critical</v>
      </c>
      <c r="Q47" t="str">
        <f t="shared" si="3"/>
        <v>Slow LCP</v>
      </c>
      <c r="R47" t="str">
        <f t="shared" si="4"/>
        <v>Optimize images, reduce render blocking resources, improve server response time</v>
      </c>
      <c r="S47">
        <f t="shared" si="5"/>
        <v>2</v>
      </c>
      <c r="T47">
        <f t="shared" si="6"/>
        <v>3</v>
      </c>
      <c r="U47">
        <f t="shared" si="7"/>
        <v>1</v>
      </c>
      <c r="V47">
        <f t="shared" si="8"/>
        <v>1</v>
      </c>
      <c r="W47">
        <f t="shared" si="9"/>
        <v>7</v>
      </c>
      <c r="X47">
        <f t="shared" si="10"/>
        <v>44</v>
      </c>
      <c r="Y47" t="str">
        <f t="shared" si="11"/>
        <v>Priority Optimization</v>
      </c>
    </row>
    <row r="48" spans="1:25">
      <c r="A48" t="str">
        <v>P047</v>
      </c>
      <c r="B48" t="str">
        <f>_xlfn.XLOOKUP(A48,PAGESPEED_RAW[Page_ID],PAGESPEED_RAW[URL])</f>
        <v>https://pmb.widyatama.ac.id/the-hidden-dangers-of-sugar-3/</v>
      </c>
      <c r="C48" t="str">
        <f>_xlfn.XLOOKUP(A48,PAGESPEED_RAW[Page_ID],PAGESPEED_RAW[Final_Page_Type])</f>
        <v>Content Review</v>
      </c>
      <c r="D48" t="str">
        <f>_xlfn.XLOOKUP(A48,PAGESPEED_RAW[Page_ID],PAGESPEED_RAW[Speed_Test_Segment])</f>
        <v>Content Audit</v>
      </c>
      <c r="E48" t="str">
        <f>_xlfn.XLOOKUP(A48,PAGESPEED_RAW[Page_ID],PAGESPEED_RAW[Test_Priority])</f>
        <v>P4 - Content Audit</v>
      </c>
      <c r="F48">
        <f>AVERAGEIFS(PAGESPEED_RAW[Performance],PAGESPEED_RAW[Page_ID],A48,PAGESPEED_RAW[Device],"mobile")</f>
        <v>56</v>
      </c>
      <c r="G48">
        <f>AVERAGEIFS(PAGESPEED_RAW[Performance],PAGESPEED_RAW[Page_ID],A48,PAGESPEED_RAW[Device],"desktop")</f>
        <v>67</v>
      </c>
      <c r="H48">
        <f t="shared" si="0"/>
        <v>11</v>
      </c>
      <c r="I48" s="14">
        <f>AVERAGEIFS(PAGESPEED_RAW[LCP],PAGESPEED_RAW[Page_ID],A48,PAGESPEED_RAW[Device],"mobile")</f>
        <v>36976.205201440142</v>
      </c>
      <c r="J48" s="14">
        <f>AVERAGEIFS(PAGESPEED_RAW[LCP],PAGESPEED_RAW[Page_ID],A48,PAGESPEED_RAW[Device],"desktop")</f>
        <v>5561.0820878183786</v>
      </c>
      <c r="K48" s="14">
        <f t="shared" si="1"/>
        <v>31415.123113621761</v>
      </c>
      <c r="L48" s="14">
        <f>AVERAGEIFS(PAGESPEED_RAW[FCP],PAGESPEED_RAW[Page_ID],A48,PAGESPEED_RAW[Device],"mobile")</f>
        <v>7351.0394456756012</v>
      </c>
      <c r="M48" s="14">
        <f>AVERAGEIFS(PAGESPEED_RAW[FCP],PAGESPEED_RAW[Page_ID],A48,PAGESPEED_RAW[Device],"desktop")</f>
        <v>1281.0179754346823</v>
      </c>
      <c r="N48" s="14">
        <f>AVERAGEIFS(PAGESPEED_RAW[TBT],PAGESPEED_RAW[Page_ID],A48,PAGESPEED_RAW[Device],"mobile")</f>
        <v>0</v>
      </c>
      <c r="O48" s="15">
        <f>AVERAGEIFS(PAGESPEED_RAW[CLS],PAGESPEED_RAW[Page_ID],A48,PAGESPEED_RAW[Device],"mobile")</f>
        <v>0</v>
      </c>
      <c r="P48" t="str">
        <f t="shared" si="2"/>
        <v>Critical</v>
      </c>
      <c r="Q48" t="str">
        <f t="shared" si="3"/>
        <v>Slow LCP</v>
      </c>
      <c r="R48" t="str">
        <f t="shared" si="4"/>
        <v>Optimize images, reduce render blocking resources, improve server response time</v>
      </c>
      <c r="S48">
        <f t="shared" si="5"/>
        <v>2</v>
      </c>
      <c r="T48">
        <f t="shared" si="6"/>
        <v>3</v>
      </c>
      <c r="U48">
        <f t="shared" si="7"/>
        <v>1</v>
      </c>
      <c r="V48">
        <f t="shared" si="8"/>
        <v>1</v>
      </c>
      <c r="W48">
        <f t="shared" si="9"/>
        <v>7</v>
      </c>
      <c r="X48">
        <f t="shared" si="10"/>
        <v>44</v>
      </c>
      <c r="Y48" t="str">
        <f t="shared" si="11"/>
        <v>Priority Optimization</v>
      </c>
    </row>
    <row r="49" spans="1:25">
      <c r="A49" t="str">
        <v>P048</v>
      </c>
      <c r="B49" t="str">
        <f>_xlfn.XLOOKUP(A49,PAGESPEED_RAW[Page_ID],PAGESPEED_RAW[URL])</f>
        <v>https://pmb.widyatama.ac.id/democracy-in-indonesia-why-it-feels-weak-at-the-grassroots-2/</v>
      </c>
      <c r="C49" t="str">
        <f>_xlfn.XLOOKUP(A49,PAGESPEED_RAW[Page_ID],PAGESPEED_RAW[Final_Page_Type])</f>
        <v>Content Review</v>
      </c>
      <c r="D49" t="str">
        <f>_xlfn.XLOOKUP(A49,PAGESPEED_RAW[Page_ID],PAGESPEED_RAW[Speed_Test_Segment])</f>
        <v>Content Audit</v>
      </c>
      <c r="E49" t="str">
        <f>_xlfn.XLOOKUP(A49,PAGESPEED_RAW[Page_ID],PAGESPEED_RAW[Test_Priority])</f>
        <v>P4 - Content Audit</v>
      </c>
      <c r="F49">
        <f>AVERAGEIFS(PAGESPEED_RAW[Performance],PAGESPEED_RAW[Page_ID],A49,PAGESPEED_RAW[Device],"mobile")</f>
        <v>55</v>
      </c>
      <c r="G49">
        <f>AVERAGEIFS(PAGESPEED_RAW[Performance],PAGESPEED_RAW[Page_ID],A49,PAGESPEED_RAW[Device],"desktop")</f>
        <v>66</v>
      </c>
      <c r="H49">
        <f t="shared" si="0"/>
        <v>11</v>
      </c>
      <c r="I49" s="14">
        <f>AVERAGEIFS(PAGESPEED_RAW[LCP],PAGESPEED_RAW[Page_ID],A49,PAGESPEED_RAW[Device],"mobile")</f>
        <v>36076.142611133968</v>
      </c>
      <c r="J49" s="14">
        <f>AVERAGEIFS(PAGESPEED_RAW[LCP],PAGESPEED_RAW[Page_ID],A49,PAGESPEED_RAW[Device],"desktop")</f>
        <v>5241.336969714398</v>
      </c>
      <c r="K49" s="14">
        <f t="shared" si="1"/>
        <v>30834.805641419571</v>
      </c>
      <c r="L49" s="14">
        <f>AVERAGEIFS(PAGESPEED_RAW[FCP],PAGESPEED_RAW[Page_ID],A49,PAGESPEED_RAW[Device],"mobile")</f>
        <v>7351.0281036616152</v>
      </c>
      <c r="M49" s="14">
        <f>AVERAGEIFS(PAGESPEED_RAW[FCP],PAGESPEED_RAW[Page_ID],A49,PAGESPEED_RAW[Device],"desktop")</f>
        <v>1281.0783650498611</v>
      </c>
      <c r="N49" s="14">
        <f>AVERAGEIFS(PAGESPEED_RAW[TBT],PAGESPEED_RAW[Page_ID],A49,PAGESPEED_RAW[Device],"mobile")</f>
        <v>70</v>
      </c>
      <c r="O49" s="15">
        <f>AVERAGEIFS(PAGESPEED_RAW[CLS],PAGESPEED_RAW[Page_ID],A49,PAGESPEED_RAW[Device],"mobile")</f>
        <v>0</v>
      </c>
      <c r="P49" t="str">
        <f t="shared" si="2"/>
        <v>Critical</v>
      </c>
      <c r="Q49" t="str">
        <f t="shared" si="3"/>
        <v>Slow LCP</v>
      </c>
      <c r="R49" t="str">
        <f t="shared" si="4"/>
        <v>Optimize images, reduce render blocking resources, improve server response time</v>
      </c>
      <c r="S49">
        <f t="shared" si="5"/>
        <v>2</v>
      </c>
      <c r="T49">
        <f t="shared" si="6"/>
        <v>3</v>
      </c>
      <c r="U49">
        <f t="shared" si="7"/>
        <v>1</v>
      </c>
      <c r="V49">
        <f t="shared" si="8"/>
        <v>1</v>
      </c>
      <c r="W49">
        <f t="shared" si="9"/>
        <v>7</v>
      </c>
      <c r="X49">
        <f t="shared" si="10"/>
        <v>44</v>
      </c>
      <c r="Y49" t="str">
        <f t="shared" si="11"/>
        <v>Priority Optimization</v>
      </c>
    </row>
    <row r="50" spans="1:25">
      <c r="A50" t="str">
        <v>P049</v>
      </c>
      <c r="B50" t="str">
        <f>_xlfn.XLOOKUP(A50,PAGESPEED_RAW[Page_ID],PAGESPEED_RAW[URL])</f>
        <v>https://pmb.widyatama.ac.id/the-hidden-dangers-of-sugar-2/</v>
      </c>
      <c r="C50" t="str">
        <f>_xlfn.XLOOKUP(A50,PAGESPEED_RAW[Page_ID],PAGESPEED_RAW[Final_Page_Type])</f>
        <v>Content Review</v>
      </c>
      <c r="D50" t="str">
        <f>_xlfn.XLOOKUP(A50,PAGESPEED_RAW[Page_ID],PAGESPEED_RAW[Speed_Test_Segment])</f>
        <v>Content Audit</v>
      </c>
      <c r="E50" t="str">
        <f>_xlfn.XLOOKUP(A50,PAGESPEED_RAW[Page_ID],PAGESPEED_RAW[Test_Priority])</f>
        <v>P4 - Content Audit</v>
      </c>
      <c r="F50">
        <f>AVERAGEIFS(PAGESPEED_RAW[Performance],PAGESPEED_RAW[Page_ID],A50,PAGESPEED_RAW[Device],"mobile")</f>
        <v>56</v>
      </c>
      <c r="G50">
        <f>AVERAGEIFS(PAGESPEED_RAW[Performance],PAGESPEED_RAW[Page_ID],A50,PAGESPEED_RAW[Device],"desktop")</f>
        <v>66</v>
      </c>
      <c r="H50">
        <f t="shared" si="0"/>
        <v>10</v>
      </c>
      <c r="I50" s="14">
        <f>AVERAGEIFS(PAGESPEED_RAW[LCP],PAGESPEED_RAW[Page_ID],A50,PAGESPEED_RAW[Device],"mobile")</f>
        <v>36976.205242818767</v>
      </c>
      <c r="J50" s="14">
        <f>AVERAGEIFS(PAGESPEED_RAW[LCP],PAGESPEED_RAW[Page_ID],A50,PAGESPEED_RAW[Device],"desktop")</f>
        <v>5561.1479266748411</v>
      </c>
      <c r="K50" s="14">
        <f t="shared" si="1"/>
        <v>31415.057316143924</v>
      </c>
      <c r="L50" s="14">
        <f>AVERAGEIFS(PAGESPEED_RAW[FCP],PAGESPEED_RAW[Page_ID],A50,PAGESPEED_RAW[Device],"mobile")</f>
        <v>7351.0394536297827</v>
      </c>
      <c r="M50" s="14">
        <f>AVERAGEIFS(PAGESPEED_RAW[FCP],PAGESPEED_RAW[Page_ID],A50,PAGESPEED_RAW[Device],"desktop")</f>
        <v>1281.0323927025202</v>
      </c>
      <c r="N50" s="14">
        <f>AVERAGEIFS(PAGESPEED_RAW[TBT],PAGESPEED_RAW[Page_ID],A50,PAGESPEED_RAW[Device],"mobile")</f>
        <v>0</v>
      </c>
      <c r="O50" s="15">
        <f>AVERAGEIFS(PAGESPEED_RAW[CLS],PAGESPEED_RAW[Page_ID],A50,PAGESPEED_RAW[Device],"mobile")</f>
        <v>0</v>
      </c>
      <c r="P50" t="str">
        <f t="shared" si="2"/>
        <v>Critical</v>
      </c>
      <c r="Q50" t="str">
        <f t="shared" si="3"/>
        <v>Slow LCP</v>
      </c>
      <c r="R50" t="str">
        <f t="shared" si="4"/>
        <v>Optimize images, reduce render blocking resources, improve server response time</v>
      </c>
      <c r="S50">
        <f t="shared" si="5"/>
        <v>2</v>
      </c>
      <c r="T50">
        <f t="shared" si="6"/>
        <v>3</v>
      </c>
      <c r="U50">
        <f t="shared" si="7"/>
        <v>1</v>
      </c>
      <c r="V50">
        <f t="shared" si="8"/>
        <v>1</v>
      </c>
      <c r="W50">
        <f t="shared" si="9"/>
        <v>7</v>
      </c>
      <c r="X50">
        <f t="shared" si="10"/>
        <v>44</v>
      </c>
      <c r="Y50" t="str">
        <f t="shared" si="11"/>
        <v>Priority Optimization</v>
      </c>
    </row>
    <row r="51" spans="1:25">
      <c r="A51" t="str">
        <v>P050</v>
      </c>
      <c r="B51" t="str">
        <f>_xlfn.XLOOKUP(A51,PAGESPEED_RAW[Page_ID],PAGESPEED_RAW[URL])</f>
        <v>https://pmb.widyatama.ac.id/the-hidden-dangers-of-sugar/</v>
      </c>
      <c r="C51" t="str">
        <f>_xlfn.XLOOKUP(A51,PAGESPEED_RAW[Page_ID],PAGESPEED_RAW[Final_Page_Type])</f>
        <v>Content Review</v>
      </c>
      <c r="D51" t="str">
        <f>_xlfn.XLOOKUP(A51,PAGESPEED_RAW[Page_ID],PAGESPEED_RAW[Speed_Test_Segment])</f>
        <v>Content Audit</v>
      </c>
      <c r="E51" t="str">
        <f>_xlfn.XLOOKUP(A51,PAGESPEED_RAW[Page_ID],PAGESPEED_RAW[Test_Priority])</f>
        <v>P4 - Content Audit</v>
      </c>
      <c r="F51">
        <f>AVERAGEIFS(PAGESPEED_RAW[Performance],PAGESPEED_RAW[Page_ID],A51,PAGESPEED_RAW[Device],"mobile")</f>
        <v>56</v>
      </c>
      <c r="G51">
        <f>AVERAGEIFS(PAGESPEED_RAW[Performance],PAGESPEED_RAW[Page_ID],A51,PAGESPEED_RAW[Device],"desktop")</f>
        <v>66</v>
      </c>
      <c r="H51">
        <f t="shared" si="0"/>
        <v>10</v>
      </c>
      <c r="I51" s="14">
        <f>AVERAGEIFS(PAGESPEED_RAW[LCP],PAGESPEED_RAW[Page_ID],A51,PAGESPEED_RAW[Device],"mobile")</f>
        <v>36976.312950867818</v>
      </c>
      <c r="J51" s="14">
        <f>AVERAGEIFS(PAGESPEED_RAW[LCP],PAGESPEED_RAW[Page_ID],A51,PAGESPEED_RAW[Device],"desktop")</f>
        <v>5421.1120910526897</v>
      </c>
      <c r="K51" s="14">
        <f t="shared" si="1"/>
        <v>31555.20085981513</v>
      </c>
      <c r="L51" s="14">
        <f>AVERAGEIFS(PAGESPEED_RAW[FCP],PAGESPEED_RAW[Page_ID],A51,PAGESPEED_RAW[Device],"mobile")</f>
        <v>7351.060158244537</v>
      </c>
      <c r="M51" s="14">
        <f>AVERAGEIFS(PAGESPEED_RAW[FCP],PAGESPEED_RAW[Page_ID],A51,PAGESPEED_RAW[Device],"desktop")</f>
        <v>1281.0251890006045</v>
      </c>
      <c r="N51" s="14">
        <f>AVERAGEIFS(PAGESPEED_RAW[TBT],PAGESPEED_RAW[Page_ID],A51,PAGESPEED_RAW[Device],"mobile")</f>
        <v>0</v>
      </c>
      <c r="O51" s="15">
        <f>AVERAGEIFS(PAGESPEED_RAW[CLS],PAGESPEED_RAW[Page_ID],A51,PAGESPEED_RAW[Device],"mobile")</f>
        <v>0</v>
      </c>
      <c r="P51" t="str">
        <f t="shared" si="2"/>
        <v>Critical</v>
      </c>
      <c r="Q51" t="str">
        <f t="shared" si="3"/>
        <v>Slow LCP</v>
      </c>
      <c r="R51" t="str">
        <f t="shared" si="4"/>
        <v>Optimize images, reduce render blocking resources, improve server response time</v>
      </c>
      <c r="S51">
        <f t="shared" si="5"/>
        <v>2</v>
      </c>
      <c r="T51">
        <f t="shared" si="6"/>
        <v>3</v>
      </c>
      <c r="U51">
        <f t="shared" si="7"/>
        <v>1</v>
      </c>
      <c r="V51">
        <f t="shared" si="8"/>
        <v>1</v>
      </c>
      <c r="W51">
        <f t="shared" si="9"/>
        <v>7</v>
      </c>
      <c r="X51">
        <f t="shared" si="10"/>
        <v>44</v>
      </c>
      <c r="Y51" t="str">
        <f t="shared" si="11"/>
        <v>Priority Optimization</v>
      </c>
    </row>
    <row r="52" spans="1:25">
      <c r="A52" t="str">
        <v>P051</v>
      </c>
      <c r="B52" t="str">
        <f>_xlfn.XLOOKUP(A52,PAGESPEED_RAW[Page_ID],PAGESPEED_RAW[URL])</f>
        <v>https://pmb.widyatama.ac.id/the-rapid-advancement-of-digital-technology/</v>
      </c>
      <c r="C52" t="str">
        <f>_xlfn.XLOOKUP(A52,PAGESPEED_RAW[Page_ID],PAGESPEED_RAW[Final_Page_Type])</f>
        <v>Content Review</v>
      </c>
      <c r="D52" t="str">
        <f>_xlfn.XLOOKUP(A52,PAGESPEED_RAW[Page_ID],PAGESPEED_RAW[Speed_Test_Segment])</f>
        <v>Content Audit</v>
      </c>
      <c r="E52" t="str">
        <f>_xlfn.XLOOKUP(A52,PAGESPEED_RAW[Page_ID],PAGESPEED_RAW[Test_Priority])</f>
        <v>P4 - Content Audit</v>
      </c>
      <c r="F52">
        <f>AVERAGEIFS(PAGESPEED_RAW[Performance],PAGESPEED_RAW[Page_ID],A52,PAGESPEED_RAW[Device],"mobile")</f>
        <v>56</v>
      </c>
      <c r="G52">
        <f>AVERAGEIFS(PAGESPEED_RAW[Performance],PAGESPEED_RAW[Page_ID],A52,PAGESPEED_RAW[Device],"desktop")</f>
        <v>68</v>
      </c>
      <c r="H52">
        <f t="shared" si="0"/>
        <v>12</v>
      </c>
      <c r="I52" s="14">
        <f>AVERAGEIFS(PAGESPEED_RAW[LCP],PAGESPEED_RAW[Page_ID],A52,PAGESPEED_RAW[Device],"mobile")</f>
        <v>31951.276090027895</v>
      </c>
      <c r="J52" s="14">
        <f>AVERAGEIFS(PAGESPEED_RAW[LCP],PAGESPEED_RAW[Page_ID],A52,PAGESPEED_RAW[Device],"desktop")</f>
        <v>4581.102112967179</v>
      </c>
      <c r="K52" s="14">
        <f t="shared" si="1"/>
        <v>27370.173977060716</v>
      </c>
      <c r="L52" s="14">
        <f>AVERAGEIFS(PAGESPEED_RAW[FCP],PAGESPEED_RAW[Page_ID],A52,PAGESPEED_RAW[Device],"mobile")</f>
        <v>7351.0614987265926</v>
      </c>
      <c r="M52" s="14">
        <f>AVERAGEIFS(PAGESPEED_RAW[FCP],PAGESPEED_RAW[Page_ID],A52,PAGESPEED_RAW[Device],"desktop")</f>
        <v>1281.0272301245818</v>
      </c>
      <c r="N52" s="14">
        <f>AVERAGEIFS(PAGESPEED_RAW[TBT],PAGESPEED_RAW[Page_ID],A52,PAGESPEED_RAW[Device],"mobile")</f>
        <v>0</v>
      </c>
      <c r="O52" s="15">
        <f>AVERAGEIFS(PAGESPEED_RAW[CLS],PAGESPEED_RAW[Page_ID],A52,PAGESPEED_RAW[Device],"mobile")</f>
        <v>0</v>
      </c>
      <c r="P52" t="str">
        <f t="shared" si="2"/>
        <v>Critical</v>
      </c>
      <c r="Q52" t="str">
        <f t="shared" si="3"/>
        <v>Slow LCP</v>
      </c>
      <c r="R52" t="str">
        <f t="shared" si="4"/>
        <v>Optimize images, reduce render blocking resources, improve server response time</v>
      </c>
      <c r="S52">
        <f t="shared" si="5"/>
        <v>2</v>
      </c>
      <c r="T52">
        <f t="shared" si="6"/>
        <v>3</v>
      </c>
      <c r="U52">
        <f t="shared" si="7"/>
        <v>1</v>
      </c>
      <c r="V52">
        <f t="shared" si="8"/>
        <v>1</v>
      </c>
      <c r="W52">
        <f t="shared" si="9"/>
        <v>7</v>
      </c>
      <c r="X52">
        <f t="shared" si="10"/>
        <v>44</v>
      </c>
      <c r="Y52" t="str">
        <f t="shared" si="11"/>
        <v>Priority Optimization</v>
      </c>
    </row>
    <row r="53" spans="1:25">
      <c r="A53" t="str">
        <v>P052</v>
      </c>
      <c r="B53" t="str">
        <f>_xlfn.XLOOKUP(A53,PAGESPEED_RAW[Page_ID],PAGESPEED_RAW[URL])</f>
        <v>https://pmb.widyatama.ac.id/the-rapid-advancement-of-digital-technology-2/</v>
      </c>
      <c r="C53" t="str">
        <f>_xlfn.XLOOKUP(A53,PAGESPEED_RAW[Page_ID],PAGESPEED_RAW[Final_Page_Type])</f>
        <v>Content Review</v>
      </c>
      <c r="D53" t="str">
        <f>_xlfn.XLOOKUP(A53,PAGESPEED_RAW[Page_ID],PAGESPEED_RAW[Speed_Test_Segment])</f>
        <v>Content Audit</v>
      </c>
      <c r="E53" t="str">
        <f>_xlfn.XLOOKUP(A53,PAGESPEED_RAW[Page_ID],PAGESPEED_RAW[Test_Priority])</f>
        <v>P4 - Content Audit</v>
      </c>
      <c r="F53">
        <f>AVERAGEIFS(PAGESPEED_RAW[Performance],PAGESPEED_RAW[Page_ID],A53,PAGESPEED_RAW[Device],"mobile")</f>
        <v>56</v>
      </c>
      <c r="G53">
        <f>AVERAGEIFS(PAGESPEED_RAW[Performance],PAGESPEED_RAW[Page_ID],A53,PAGESPEED_RAW[Device],"desktop")</f>
        <v>68</v>
      </c>
      <c r="H53">
        <f t="shared" si="0"/>
        <v>12</v>
      </c>
      <c r="I53" s="14">
        <f>AVERAGEIFS(PAGESPEED_RAW[LCP],PAGESPEED_RAW[Page_ID],A53,PAGESPEED_RAW[Device],"mobile")</f>
        <v>30151.303859156447</v>
      </c>
      <c r="J53" s="14">
        <f>AVERAGEIFS(PAGESPEED_RAW[LCP],PAGESPEED_RAW[Page_ID],A53,PAGESPEED_RAW[Device],"desktop")</f>
        <v>4581.0479779650232</v>
      </c>
      <c r="K53" s="14">
        <f t="shared" si="1"/>
        <v>25570.255881191424</v>
      </c>
      <c r="L53" s="14">
        <f>AVERAGEIFS(PAGESPEED_RAW[FCP],PAGESPEED_RAW[Page_ID],A53,PAGESPEED_RAW[Device],"mobile")</f>
        <v>6601.0641310782466</v>
      </c>
      <c r="M53" s="14">
        <f>AVERAGEIFS(PAGESPEED_RAW[FCP],PAGESPEED_RAW[Page_ID],A53,PAGESPEED_RAW[Device],"desktop")</f>
        <v>1281.0127941240066</v>
      </c>
      <c r="N53" s="14">
        <f>AVERAGEIFS(PAGESPEED_RAW[TBT],PAGESPEED_RAW[Page_ID],A53,PAGESPEED_RAW[Device],"mobile")</f>
        <v>19</v>
      </c>
      <c r="O53" s="15">
        <f>AVERAGEIFS(PAGESPEED_RAW[CLS],PAGESPEED_RAW[Page_ID],A53,PAGESPEED_RAW[Device],"mobile")</f>
        <v>3.3240805997704112E-2</v>
      </c>
      <c r="P53" t="str">
        <f t="shared" si="2"/>
        <v>Critical</v>
      </c>
      <c r="Q53" t="str">
        <f t="shared" si="3"/>
        <v>Slow LCP</v>
      </c>
      <c r="R53" t="str">
        <f t="shared" si="4"/>
        <v>Optimize images, reduce render blocking resources, improve server response time</v>
      </c>
      <c r="S53">
        <f t="shared" si="5"/>
        <v>2</v>
      </c>
      <c r="T53">
        <f t="shared" si="6"/>
        <v>3</v>
      </c>
      <c r="U53">
        <f t="shared" si="7"/>
        <v>1</v>
      </c>
      <c r="V53">
        <f t="shared" si="8"/>
        <v>1</v>
      </c>
      <c r="W53">
        <f t="shared" si="9"/>
        <v>7</v>
      </c>
      <c r="X53">
        <f t="shared" si="10"/>
        <v>44</v>
      </c>
      <c r="Y53" t="str">
        <f t="shared" si="11"/>
        <v>Priority Optimization</v>
      </c>
    </row>
    <row r="54" spans="1:25">
      <c r="A54" t="str">
        <v>P053</v>
      </c>
      <c r="B54" t="str">
        <f>_xlfn.XLOOKUP(A54,PAGESPEED_RAW[Page_ID],PAGESPEED_RAW[URL])</f>
        <v>https://pmb.widyatama.ac.id/democracy-in-indonesia-why-it-feels-weak-at-the-grassroots-3/</v>
      </c>
      <c r="C54" t="str">
        <f>_xlfn.XLOOKUP(A54,PAGESPEED_RAW[Page_ID],PAGESPEED_RAW[Final_Page_Type])</f>
        <v>Content Review</v>
      </c>
      <c r="D54" t="str">
        <f>_xlfn.XLOOKUP(A54,PAGESPEED_RAW[Page_ID],PAGESPEED_RAW[Speed_Test_Segment])</f>
        <v>Content Audit</v>
      </c>
      <c r="E54" t="str">
        <f>_xlfn.XLOOKUP(A54,PAGESPEED_RAW[Page_ID],PAGESPEED_RAW[Test_Priority])</f>
        <v>P4 - Content Audit</v>
      </c>
      <c r="F54">
        <f>AVERAGEIFS(PAGESPEED_RAW[Performance],PAGESPEED_RAW[Page_ID],A54,PAGESPEED_RAW[Device],"mobile")</f>
        <v>56</v>
      </c>
      <c r="G54">
        <f>AVERAGEIFS(PAGESPEED_RAW[Performance],PAGESPEED_RAW[Page_ID],A54,PAGESPEED_RAW[Device],"desktop")</f>
        <v>66</v>
      </c>
      <c r="H54">
        <f t="shared" si="0"/>
        <v>10</v>
      </c>
      <c r="I54" s="14">
        <f>AVERAGEIFS(PAGESPEED_RAW[LCP],PAGESPEED_RAW[Page_ID],A54,PAGESPEED_RAW[Device],"mobile")</f>
        <v>36076.314034101772</v>
      </c>
      <c r="J54" s="14">
        <f>AVERAGEIFS(PAGESPEED_RAW[LCP],PAGESPEED_RAW[Page_ID],A54,PAGESPEED_RAW[Device],"desktop")</f>
        <v>5241.1080441083577</v>
      </c>
      <c r="K54" s="14">
        <f t="shared" si="1"/>
        <v>30835.205989993414</v>
      </c>
      <c r="L54" s="14">
        <f>AVERAGEIFS(PAGESPEED_RAW[FCP],PAGESPEED_RAW[Page_ID],A54,PAGESPEED_RAW[Device],"mobile")</f>
        <v>7351.0618851269701</v>
      </c>
      <c r="M54" s="14">
        <f>AVERAGEIFS(PAGESPEED_RAW[FCP],PAGESPEED_RAW[Page_ID],A54,PAGESPEED_RAW[Device],"desktop")</f>
        <v>1321.0259640880558</v>
      </c>
      <c r="N54" s="14">
        <f>AVERAGEIFS(PAGESPEED_RAW[TBT],PAGESPEED_RAW[Page_ID],A54,PAGESPEED_RAW[Device],"mobile")</f>
        <v>0</v>
      </c>
      <c r="O54" s="15">
        <f>AVERAGEIFS(PAGESPEED_RAW[CLS],PAGESPEED_RAW[Page_ID],A54,PAGESPEED_RAW[Device],"mobile")</f>
        <v>0</v>
      </c>
      <c r="P54" t="str">
        <f t="shared" si="2"/>
        <v>Critical</v>
      </c>
      <c r="Q54" t="str">
        <f t="shared" si="3"/>
        <v>Slow LCP</v>
      </c>
      <c r="R54" t="str">
        <f t="shared" si="4"/>
        <v>Optimize images, reduce render blocking resources, improve server response time</v>
      </c>
      <c r="S54">
        <f t="shared" si="5"/>
        <v>2</v>
      </c>
      <c r="T54">
        <f t="shared" si="6"/>
        <v>3</v>
      </c>
      <c r="U54">
        <f t="shared" si="7"/>
        <v>1</v>
      </c>
      <c r="V54">
        <f t="shared" si="8"/>
        <v>1</v>
      </c>
      <c r="W54">
        <f t="shared" si="9"/>
        <v>7</v>
      </c>
      <c r="X54">
        <f t="shared" si="10"/>
        <v>44</v>
      </c>
      <c r="Y54" t="str">
        <f t="shared" si="11"/>
        <v>Priority Optimization</v>
      </c>
    </row>
    <row r="55" spans="1:25">
      <c r="A55" t="str">
        <v>P054</v>
      </c>
      <c r="B55" t="str">
        <f>_xlfn.XLOOKUP(A55,PAGESPEED_RAW[Page_ID],PAGESPEED_RAW[URL])</f>
        <v>https://pmb.widyatama.ac.id/program-studi/doktor-ilmu-manajemen/</v>
      </c>
      <c r="C55" t="str">
        <f>_xlfn.XLOOKUP(A55,PAGESPEED_RAW[Page_ID],PAGESPEED_RAW[Final_Page_Type])</f>
        <v>Program</v>
      </c>
      <c r="D55" t="str">
        <f>_xlfn.XLOOKUP(A55,PAGESPEED_RAW[Page_ID],PAGESPEED_RAW[Speed_Test_Segment])</f>
        <v>Core PMB Website</v>
      </c>
      <c r="E55" t="str">
        <f>_xlfn.XLOOKUP(A55,PAGESPEED_RAW[Page_ID],PAGESPEED_RAW[Test_Priority])</f>
        <v>P1 - Critical</v>
      </c>
      <c r="F55">
        <f>AVERAGEIFS(PAGESPEED_RAW[Performance],PAGESPEED_RAW[Page_ID],A55,PAGESPEED_RAW[Device],"mobile")</f>
        <v>57</v>
      </c>
      <c r="G55">
        <f>AVERAGEIFS(PAGESPEED_RAW[Performance],PAGESPEED_RAW[Page_ID],A55,PAGESPEED_RAW[Device],"desktop")</f>
        <v>77</v>
      </c>
      <c r="H55">
        <f t="shared" si="0"/>
        <v>20</v>
      </c>
      <c r="I55" s="14">
        <f>AVERAGEIFS(PAGESPEED_RAW[LCP],PAGESPEED_RAW[Page_ID],A55,PAGESPEED_RAW[Device],"mobile")</f>
        <v>17701.090049580365</v>
      </c>
      <c r="J55" s="14">
        <f>AVERAGEIFS(PAGESPEED_RAW[LCP],PAGESPEED_RAW[Page_ID],A55,PAGESPEED_RAW[Device],"desktop")</f>
        <v>2841.0722164340623</v>
      </c>
      <c r="K55" s="14">
        <f t="shared" si="1"/>
        <v>14860.017833146303</v>
      </c>
      <c r="L55" s="14">
        <f>AVERAGEIFS(PAGESPEED_RAW[FCP],PAGESPEED_RAW[Page_ID],A55,PAGESPEED_RAW[Device],"mobile")</f>
        <v>4951.0240649740645</v>
      </c>
      <c r="M55" s="14">
        <f>AVERAGEIFS(PAGESPEED_RAW[FCP],PAGESPEED_RAW[Page_ID],A55,PAGESPEED_RAW[Device],"desktop")</f>
        <v>881.02093229972832</v>
      </c>
      <c r="N55" s="14">
        <f>AVERAGEIFS(PAGESPEED_RAW[TBT],PAGESPEED_RAW[Page_ID],A55,PAGESPEED_RAW[Device],"mobile")</f>
        <v>0</v>
      </c>
      <c r="O55" s="15">
        <f>AVERAGEIFS(PAGESPEED_RAW[CLS],PAGESPEED_RAW[Page_ID],A55,PAGESPEED_RAW[Device],"mobile")</f>
        <v>0</v>
      </c>
      <c r="P55" t="str">
        <f t="shared" si="2"/>
        <v>Critical</v>
      </c>
      <c r="Q55" t="str">
        <f t="shared" si="3"/>
        <v>Slow LCP</v>
      </c>
      <c r="R55" t="str">
        <f t="shared" si="4"/>
        <v>Optimize images, reduce render blocking resources, improve server response time</v>
      </c>
      <c r="S55">
        <f t="shared" si="5"/>
        <v>2</v>
      </c>
      <c r="T55">
        <f t="shared" si="6"/>
        <v>3</v>
      </c>
      <c r="U55">
        <f t="shared" si="7"/>
        <v>1</v>
      </c>
      <c r="V55">
        <f t="shared" si="8"/>
        <v>2</v>
      </c>
      <c r="W55">
        <f t="shared" si="9"/>
        <v>8</v>
      </c>
      <c r="X55">
        <f t="shared" si="10"/>
        <v>5</v>
      </c>
      <c r="Y55" t="str">
        <f t="shared" si="11"/>
        <v>Priority Optimization</v>
      </c>
    </row>
    <row r="56" spans="1:25">
      <c r="A56" t="str">
        <v>P055</v>
      </c>
      <c r="B56" t="str">
        <f>_xlfn.XLOOKUP(A56,PAGESPEED_RAW[Page_ID],PAGESPEED_RAW[URL])</f>
        <v>https://pmb.widyatama.ac.id/program-studi/program-profesi-akuntansi/</v>
      </c>
      <c r="C56" t="str">
        <f>_xlfn.XLOOKUP(A56,PAGESPEED_RAW[Page_ID],PAGESPEED_RAW[Final_Page_Type])</f>
        <v>Program</v>
      </c>
      <c r="D56" t="str">
        <f>_xlfn.XLOOKUP(A56,PAGESPEED_RAW[Page_ID],PAGESPEED_RAW[Speed_Test_Segment])</f>
        <v>Core PMB Website</v>
      </c>
      <c r="E56" t="str">
        <f>_xlfn.XLOOKUP(A56,PAGESPEED_RAW[Page_ID],PAGESPEED_RAW[Test_Priority])</f>
        <v>P1 - Critical</v>
      </c>
      <c r="F56">
        <f>AVERAGEIFS(PAGESPEED_RAW[Performance],PAGESPEED_RAW[Page_ID],A56,PAGESPEED_RAW[Device],"mobile")</f>
        <v>56</v>
      </c>
      <c r="G56">
        <f>AVERAGEIFS(PAGESPEED_RAW[Performance],PAGESPEED_RAW[Page_ID],A56,PAGESPEED_RAW[Device],"desktop")</f>
        <v>73</v>
      </c>
      <c r="H56">
        <f t="shared" si="0"/>
        <v>17</v>
      </c>
      <c r="I56" s="14">
        <f>AVERAGEIFS(PAGESPEED_RAW[LCP],PAGESPEED_RAW[Page_ID],A56,PAGESPEED_RAW[Device],"mobile")</f>
        <v>18008.700723310692</v>
      </c>
      <c r="J56" s="14">
        <f>AVERAGEIFS(PAGESPEED_RAW[LCP],PAGESPEED_RAW[Page_ID],A56,PAGESPEED_RAW[Device],"desktop")</f>
        <v>3241.1818215402945</v>
      </c>
      <c r="K56" s="14">
        <f t="shared" si="1"/>
        <v>14767.518901770398</v>
      </c>
      <c r="L56" s="14">
        <f>AVERAGEIFS(PAGESPEED_RAW[FCP],PAGESPEED_RAW[Page_ID],A56,PAGESPEED_RAW[Device],"mobile")</f>
        <v>4951.0527323951856</v>
      </c>
      <c r="M56" s="14">
        <f>AVERAGEIFS(PAGESPEED_RAW[FCP],PAGESPEED_RAW[Page_ID],A56,PAGESPEED_RAW[Device],"desktop")</f>
        <v>881.04603076969488</v>
      </c>
      <c r="N56" s="14">
        <f>AVERAGEIFS(PAGESPEED_RAW[TBT],PAGESPEED_RAW[Page_ID],A56,PAGESPEED_RAW[Device],"mobile")</f>
        <v>0</v>
      </c>
      <c r="O56" s="15">
        <f>AVERAGEIFS(PAGESPEED_RAW[CLS],PAGESPEED_RAW[Page_ID],A56,PAGESPEED_RAW[Device],"mobile")</f>
        <v>0</v>
      </c>
      <c r="P56" t="str">
        <f t="shared" si="2"/>
        <v>Critical</v>
      </c>
      <c r="Q56" t="str">
        <f t="shared" si="3"/>
        <v>Slow LCP</v>
      </c>
      <c r="R56" t="str">
        <f t="shared" si="4"/>
        <v>Optimize images, reduce render blocking resources, improve server response time</v>
      </c>
      <c r="S56">
        <f t="shared" si="5"/>
        <v>2</v>
      </c>
      <c r="T56">
        <f t="shared" si="6"/>
        <v>3</v>
      </c>
      <c r="U56">
        <f t="shared" si="7"/>
        <v>1</v>
      </c>
      <c r="V56">
        <f t="shared" si="8"/>
        <v>2</v>
      </c>
      <c r="W56">
        <f t="shared" si="9"/>
        <v>8</v>
      </c>
      <c r="X56">
        <f t="shared" si="10"/>
        <v>5</v>
      </c>
      <c r="Y56" t="str">
        <f t="shared" si="11"/>
        <v>Priority Optimization</v>
      </c>
    </row>
    <row r="57" spans="1:25">
      <c r="A57" t="str">
        <v>P056</v>
      </c>
      <c r="B57" t="str">
        <f>_xlfn.XLOOKUP(A57,PAGESPEED_RAW[Page_ID],PAGESPEED_RAW[URL])</f>
        <v>https://pmb.widyatama.ac.id/program-studi/magister-akuntansi/</v>
      </c>
      <c r="C57" t="str">
        <f>_xlfn.XLOOKUP(A57,PAGESPEED_RAW[Page_ID],PAGESPEED_RAW[Final_Page_Type])</f>
        <v>Program</v>
      </c>
      <c r="D57" t="str">
        <f>_xlfn.XLOOKUP(A57,PAGESPEED_RAW[Page_ID],PAGESPEED_RAW[Speed_Test_Segment])</f>
        <v>Core PMB Website</v>
      </c>
      <c r="E57" t="str">
        <f>_xlfn.XLOOKUP(A57,PAGESPEED_RAW[Page_ID],PAGESPEED_RAW[Test_Priority])</f>
        <v>P1 - Critical</v>
      </c>
      <c r="F57">
        <f>AVERAGEIFS(PAGESPEED_RAW[Performance],PAGESPEED_RAW[Page_ID],A57,PAGESPEED_RAW[Device],"mobile")</f>
        <v>57</v>
      </c>
      <c r="G57">
        <f>AVERAGEIFS(PAGESPEED_RAW[Performance],PAGESPEED_RAW[Page_ID],A57,PAGESPEED_RAW[Device],"desktop")</f>
        <v>78</v>
      </c>
      <c r="H57">
        <f t="shared" si="0"/>
        <v>21</v>
      </c>
      <c r="I57" s="14">
        <f>AVERAGEIFS(PAGESPEED_RAW[LCP],PAGESPEED_RAW[Page_ID],A57,PAGESPEED_RAW[Device],"mobile")</f>
        <v>17101.08828587268</v>
      </c>
      <c r="J57" s="14">
        <f>AVERAGEIFS(PAGESPEED_RAW[LCP],PAGESPEED_RAW[Page_ID],A57,PAGESPEED_RAW[Device],"desktop")</f>
        <v>2781.0531999695459</v>
      </c>
      <c r="K57" s="14">
        <f t="shared" si="1"/>
        <v>14320.035085903135</v>
      </c>
      <c r="L57" s="14">
        <f>AVERAGEIFS(PAGESPEED_RAW[FCP],PAGESPEED_RAW[Page_ID],A57,PAGESPEED_RAW[Device],"mobile")</f>
        <v>4951.0244362683334</v>
      </c>
      <c r="M57" s="14">
        <f>AVERAGEIFS(PAGESPEED_RAW[FCP],PAGESPEED_RAW[Page_ID],A57,PAGESPEED_RAW[Device],"desktop")</f>
        <v>921.01655110163665</v>
      </c>
      <c r="N57" s="14">
        <f>AVERAGEIFS(PAGESPEED_RAW[TBT],PAGESPEED_RAW[Page_ID],A57,PAGESPEED_RAW[Device],"mobile")</f>
        <v>0</v>
      </c>
      <c r="O57" s="15">
        <f>AVERAGEIFS(PAGESPEED_RAW[CLS],PAGESPEED_RAW[Page_ID],A57,PAGESPEED_RAW[Device],"mobile")</f>
        <v>0</v>
      </c>
      <c r="P57" t="str">
        <f t="shared" si="2"/>
        <v>Critical</v>
      </c>
      <c r="Q57" t="str">
        <f t="shared" si="3"/>
        <v>Slow LCP</v>
      </c>
      <c r="R57" t="str">
        <f t="shared" si="4"/>
        <v>Optimize images, reduce render blocking resources, improve server response time</v>
      </c>
      <c r="S57">
        <f t="shared" si="5"/>
        <v>2</v>
      </c>
      <c r="T57">
        <f t="shared" si="6"/>
        <v>3</v>
      </c>
      <c r="U57">
        <f t="shared" si="7"/>
        <v>1</v>
      </c>
      <c r="V57">
        <f t="shared" si="8"/>
        <v>2</v>
      </c>
      <c r="W57">
        <f t="shared" si="9"/>
        <v>8</v>
      </c>
      <c r="X57">
        <f t="shared" si="10"/>
        <v>5</v>
      </c>
      <c r="Y57" t="str">
        <f t="shared" si="11"/>
        <v>Priority Optimization</v>
      </c>
    </row>
    <row r="58" spans="1:25">
      <c r="A58" t="str">
        <v>P057</v>
      </c>
      <c r="B58" t="str">
        <f>_xlfn.XLOOKUP(A58,PAGESPEED_RAW[Page_ID],PAGESPEED_RAW[URL])</f>
        <v>https://online.pmb.widyatama.ac.id/register/rpl</v>
      </c>
      <c r="C58" t="str">
        <f>_xlfn.XLOOKUP(A58,PAGESPEED_RAW[Page_ID],PAGESPEED_RAW[Final_Page_Type])</f>
        <v>Registration System</v>
      </c>
      <c r="D58" t="str">
        <f>_xlfn.XLOOKUP(A58,PAGESPEED_RAW[Page_ID],PAGESPEED_RAW[Speed_Test_Segment])</f>
        <v>Registration System</v>
      </c>
      <c r="E58" t="str">
        <f>_xlfn.XLOOKUP(A58,PAGESPEED_RAW[Page_ID],PAGESPEED_RAW[Test_Priority])</f>
        <v>P1 - Critical</v>
      </c>
      <c r="F58">
        <f>AVERAGEIFS(PAGESPEED_RAW[Performance],PAGESPEED_RAW[Page_ID],A58,PAGESPEED_RAW[Device],"mobile")</f>
        <v>89</v>
      </c>
      <c r="G58">
        <f>AVERAGEIFS(PAGESPEED_RAW[Performance],PAGESPEED_RAW[Page_ID],A58,PAGESPEED_RAW[Device],"desktop")</f>
        <v>80</v>
      </c>
      <c r="H58">
        <f t="shared" si="0"/>
        <v>-9</v>
      </c>
      <c r="I58" s="14">
        <f>AVERAGEIFS(PAGESPEED_RAW[LCP],PAGESPEED_RAW[Page_ID],A58,PAGESPEED_RAW[Device],"mobile")</f>
        <v>2101.084320275555</v>
      </c>
      <c r="J58" s="14">
        <f>AVERAGEIFS(PAGESPEED_RAW[LCP],PAGESPEED_RAW[Page_ID],A58,PAGESPEED_RAW[Device],"desktop")</f>
        <v>583.05136035365126</v>
      </c>
      <c r="K58" s="14">
        <f t="shared" si="1"/>
        <v>1518.0329599219037</v>
      </c>
      <c r="L58" s="14">
        <f>AVERAGEIFS(PAGESPEED_RAW[FCP],PAGESPEED_RAW[Page_ID],A58,PAGESPEED_RAW[Device],"mobile")</f>
        <v>1951.0772935859254</v>
      </c>
      <c r="M58" s="14">
        <f>AVERAGEIFS(PAGESPEED_RAW[FCP],PAGESPEED_RAW[Page_ID],A58,PAGESPEED_RAW[Device],"desktop")</f>
        <v>461.71584775099234</v>
      </c>
      <c r="N58" s="14">
        <f>AVERAGEIFS(PAGESPEED_RAW[TBT],PAGESPEED_RAW[Page_ID],A58,PAGESPEED_RAW[Device],"mobile")</f>
        <v>337</v>
      </c>
      <c r="O58" s="15">
        <f>AVERAGEIFS(PAGESPEED_RAW[CLS],PAGESPEED_RAW[Page_ID],A58,PAGESPEED_RAW[Device],"mobile")</f>
        <v>1.1093761249839049E-2</v>
      </c>
      <c r="P58" t="str">
        <f t="shared" si="2"/>
        <v>Critical</v>
      </c>
      <c r="Q58" t="str">
        <f t="shared" si="3"/>
        <v>High JavaScript Blocking</v>
      </c>
      <c r="R58" t="str">
        <f t="shared" si="4"/>
        <v>Reduce unused JavaScript, defer scripts, optimize third-party code</v>
      </c>
      <c r="S58">
        <f t="shared" si="5"/>
        <v>1</v>
      </c>
      <c r="T58">
        <f t="shared" si="6"/>
        <v>1</v>
      </c>
      <c r="U58">
        <f t="shared" si="7"/>
        <v>2</v>
      </c>
      <c r="V58">
        <f t="shared" si="8"/>
        <v>1</v>
      </c>
      <c r="W58">
        <f t="shared" si="9"/>
        <v>5</v>
      </c>
      <c r="X58">
        <f t="shared" si="10"/>
        <v>83</v>
      </c>
      <c r="Y58" t="str">
        <f t="shared" si="11"/>
        <v>Routine Optimization</v>
      </c>
    </row>
    <row r="59" spans="1:25">
      <c r="A59" t="str">
        <v>P058</v>
      </c>
      <c r="B59" t="str">
        <f>_xlfn.XLOOKUP(A59,PAGESPEED_RAW[Page_ID],PAGESPEED_RAW[URL])</f>
        <v>https://online.pmb.widyatama.ac.id/register/reg</v>
      </c>
      <c r="C59" t="str">
        <f>_xlfn.XLOOKUP(A59,PAGESPEED_RAW[Page_ID],PAGESPEED_RAW[Final_Page_Type])</f>
        <v>Registration System</v>
      </c>
      <c r="D59" t="str">
        <f>_xlfn.XLOOKUP(A59,PAGESPEED_RAW[Page_ID],PAGESPEED_RAW[Speed_Test_Segment])</f>
        <v>Registration System</v>
      </c>
      <c r="E59" t="str">
        <f>_xlfn.XLOOKUP(A59,PAGESPEED_RAW[Page_ID],PAGESPEED_RAW[Test_Priority])</f>
        <v>P1 - Critical</v>
      </c>
      <c r="F59">
        <f>AVERAGEIFS(PAGESPEED_RAW[Performance],PAGESPEED_RAW[Page_ID],A59,PAGESPEED_RAW[Device],"mobile")</f>
        <v>77</v>
      </c>
      <c r="G59">
        <f>AVERAGEIFS(PAGESPEED_RAW[Performance],PAGESPEED_RAW[Page_ID],A59,PAGESPEED_RAW[Device],"desktop")</f>
        <v>88</v>
      </c>
      <c r="H59">
        <f t="shared" si="0"/>
        <v>11</v>
      </c>
      <c r="I59" s="14">
        <f>AVERAGEIFS(PAGESPEED_RAW[LCP],PAGESPEED_RAW[Page_ID],A59,PAGESPEED_RAW[Device],"mobile")</f>
        <v>2284.0697214722204</v>
      </c>
      <c r="J59" s="14">
        <f>AVERAGEIFS(PAGESPEED_RAW[LCP],PAGESPEED_RAW[Page_ID],A59,PAGESPEED_RAW[Device],"desktop")</f>
        <v>741.0642682549161</v>
      </c>
      <c r="K59" s="14">
        <f t="shared" si="1"/>
        <v>1543.0054532173044</v>
      </c>
      <c r="L59" s="14">
        <f>AVERAGEIFS(PAGESPEED_RAW[FCP],PAGESPEED_RAW[Page_ID],A59,PAGESPEED_RAW[Device],"mobile")</f>
        <v>1954.0589950918786</v>
      </c>
      <c r="M59" s="14">
        <f>AVERAGEIFS(PAGESPEED_RAW[FCP],PAGESPEED_RAW[Page_ID],A59,PAGESPEED_RAW[Device],"desktop")</f>
        <v>459.71479485215383</v>
      </c>
      <c r="N59" s="14">
        <f>AVERAGEIFS(PAGESPEED_RAW[TBT],PAGESPEED_RAW[Page_ID],A59,PAGESPEED_RAW[Device],"mobile")</f>
        <v>825.00000000000136</v>
      </c>
      <c r="O59" s="15">
        <f>AVERAGEIFS(PAGESPEED_RAW[CLS],PAGESPEED_RAW[Page_ID],A59,PAGESPEED_RAW[Device],"mobile")</f>
        <v>1.303076718235063E-2</v>
      </c>
      <c r="P59" t="str">
        <f t="shared" si="2"/>
        <v>Critical</v>
      </c>
      <c r="Q59" t="str">
        <f t="shared" si="3"/>
        <v>High JavaScript Blocking</v>
      </c>
      <c r="R59" t="str">
        <f t="shared" si="4"/>
        <v>Reduce unused JavaScript, defer scripts, optimize third-party code</v>
      </c>
      <c r="S59">
        <f t="shared" si="5"/>
        <v>1</v>
      </c>
      <c r="T59">
        <f t="shared" si="6"/>
        <v>1</v>
      </c>
      <c r="U59">
        <f t="shared" si="7"/>
        <v>3</v>
      </c>
      <c r="V59">
        <f t="shared" si="8"/>
        <v>1</v>
      </c>
      <c r="W59">
        <f t="shared" si="9"/>
        <v>6</v>
      </c>
      <c r="X59">
        <f t="shared" si="10"/>
        <v>79</v>
      </c>
      <c r="Y59" t="str">
        <f t="shared" si="11"/>
        <v>Routine Optimization</v>
      </c>
    </row>
    <row r="60" spans="1:25">
      <c r="A60" t="str">
        <v>P059</v>
      </c>
      <c r="B60" t="str">
        <f>_xlfn.XLOOKUP(A60,PAGESPEED_RAW[Page_ID],PAGESPEED_RAW[URL])</f>
        <v>https://online.pmb.widyatama.ac.id/register/sps</v>
      </c>
      <c r="C60" t="str">
        <f>_xlfn.XLOOKUP(A60,PAGESPEED_RAW[Page_ID],PAGESPEED_RAW[Final_Page_Type])</f>
        <v>Registration System</v>
      </c>
      <c r="D60" t="str">
        <f>_xlfn.XLOOKUP(A60,PAGESPEED_RAW[Page_ID],PAGESPEED_RAW[Speed_Test_Segment])</f>
        <v>Registration System</v>
      </c>
      <c r="E60" t="str">
        <f>_xlfn.XLOOKUP(A60,PAGESPEED_RAW[Page_ID],PAGESPEED_RAW[Test_Priority])</f>
        <v>P1 - Critical</v>
      </c>
      <c r="F60">
        <f>AVERAGEIFS(PAGESPEED_RAW[Performance],PAGESPEED_RAW[Page_ID],A60,PAGESPEED_RAW[Device],"mobile")</f>
        <v>85</v>
      </c>
      <c r="G60">
        <f>AVERAGEIFS(PAGESPEED_RAW[Performance],PAGESPEED_RAW[Page_ID],A60,PAGESPEED_RAW[Device],"desktop")</f>
        <v>85</v>
      </c>
      <c r="H60">
        <f t="shared" si="0"/>
        <v>0</v>
      </c>
      <c r="I60" s="14">
        <f>AVERAGEIFS(PAGESPEED_RAW[LCP],PAGESPEED_RAW[Page_ID],A60,PAGESPEED_RAW[Device],"mobile")</f>
        <v>2275.0615085706941</v>
      </c>
      <c r="J60" s="14">
        <f>AVERAGEIFS(PAGESPEED_RAW[LCP],PAGESPEED_RAW[Page_ID],A60,PAGESPEED_RAW[Device],"desktop")</f>
        <v>595.05774877232545</v>
      </c>
      <c r="K60" s="14">
        <f t="shared" si="1"/>
        <v>1680.0037597983687</v>
      </c>
      <c r="L60" s="14">
        <f>AVERAGEIFS(PAGESPEED_RAW[FCP],PAGESPEED_RAW[Page_ID],A60,PAGESPEED_RAW[Device],"mobile")</f>
        <v>1951.0520457136645</v>
      </c>
      <c r="M60" s="14">
        <f>AVERAGEIFS(PAGESPEED_RAW[FCP],PAGESPEED_RAW[Page_ID],A60,PAGESPEED_RAW[Device],"desktop")</f>
        <v>459.71773814606945</v>
      </c>
      <c r="N60" s="14">
        <f>AVERAGEIFS(PAGESPEED_RAW[TBT],PAGESPEED_RAW[Page_ID],A60,PAGESPEED_RAW[Device],"mobile")</f>
        <v>482</v>
      </c>
      <c r="O60" s="15">
        <f>AVERAGEIFS(PAGESPEED_RAW[CLS],PAGESPEED_RAW[Page_ID],A60,PAGESPEED_RAW[Device],"mobile")</f>
        <v>1.303076718235063E-2</v>
      </c>
      <c r="P60" t="str">
        <f t="shared" si="2"/>
        <v>Critical</v>
      </c>
      <c r="Q60" t="str">
        <f t="shared" si="3"/>
        <v>High JavaScript Blocking</v>
      </c>
      <c r="R60" t="str">
        <f t="shared" si="4"/>
        <v>Reduce unused JavaScript, defer scripts, optimize third-party code</v>
      </c>
      <c r="S60">
        <f t="shared" si="5"/>
        <v>1</v>
      </c>
      <c r="T60">
        <f t="shared" si="6"/>
        <v>1</v>
      </c>
      <c r="U60">
        <f t="shared" si="7"/>
        <v>2</v>
      </c>
      <c r="V60">
        <f t="shared" si="8"/>
        <v>1</v>
      </c>
      <c r="W60">
        <f t="shared" si="9"/>
        <v>5</v>
      </c>
      <c r="X60">
        <f t="shared" si="10"/>
        <v>83</v>
      </c>
      <c r="Y60" t="str">
        <f t="shared" si="11"/>
        <v>Routine Optimization</v>
      </c>
    </row>
    <row r="61" spans="1:25">
      <c r="A61" t="str">
        <v>P060</v>
      </c>
      <c r="B61" t="str">
        <f>_xlfn.XLOOKUP(A61,PAGESPEED_RAW[Page_ID],PAGESPEED_RAW[URL])</f>
        <v>https://pmb.widyatama.ac.id/jalur-seleksi-mahasiswa-asing-international/</v>
      </c>
      <c r="C61" t="str">
        <f>_xlfn.XLOOKUP(A61,PAGESPEED_RAW[Page_ID],PAGESPEED_RAW[Final_Page_Type])</f>
        <v>Admission</v>
      </c>
      <c r="D61" t="str">
        <f>_xlfn.XLOOKUP(A61,PAGESPEED_RAW[Page_ID],PAGESPEED_RAW[Speed_Test_Segment])</f>
        <v>Core PMB Website</v>
      </c>
      <c r="E61" t="str">
        <f>_xlfn.XLOOKUP(A61,PAGESPEED_RAW[Page_ID],PAGESPEED_RAW[Test_Priority])</f>
        <v>P1 - Critical</v>
      </c>
      <c r="F61">
        <f>AVERAGEIFS(PAGESPEED_RAW[Performance],PAGESPEED_RAW[Page_ID],A61,PAGESPEED_RAW[Device],"mobile")</f>
        <v>59</v>
      </c>
      <c r="G61">
        <f>AVERAGEIFS(PAGESPEED_RAW[Performance],PAGESPEED_RAW[Page_ID],A61,PAGESPEED_RAW[Device],"desktop")</f>
        <v>77</v>
      </c>
      <c r="H61">
        <f t="shared" si="0"/>
        <v>18</v>
      </c>
      <c r="I61" s="14">
        <f>AVERAGEIFS(PAGESPEED_RAW[LCP],PAGESPEED_RAW[Page_ID],A61,PAGESPEED_RAW[Device],"mobile")</f>
        <v>15451.046310406602</v>
      </c>
      <c r="J61" s="14">
        <f>AVERAGEIFS(PAGESPEED_RAW[LCP],PAGESPEED_RAW[Page_ID],A61,PAGESPEED_RAW[Device],"desktop")</f>
        <v>2801.0594224866636</v>
      </c>
      <c r="K61" s="14">
        <f t="shared" si="1"/>
        <v>12649.986887919938</v>
      </c>
      <c r="L61" s="14">
        <f>AVERAGEIFS(PAGESPEED_RAW[FCP],PAGESPEED_RAW[Page_ID],A61,PAGESPEED_RAW[Device],"mobile")</f>
        <v>3640.0100874152999</v>
      </c>
      <c r="M61" s="14">
        <f>AVERAGEIFS(PAGESPEED_RAW[FCP],PAGESPEED_RAW[Page_ID],A61,PAGESPEED_RAW[Device],"desktop")</f>
        <v>806.01643924880034</v>
      </c>
      <c r="N61" s="14">
        <f>AVERAGEIFS(PAGESPEED_RAW[TBT],PAGESPEED_RAW[Page_ID],A61,PAGESPEED_RAW[Device],"mobile")</f>
        <v>109.99999999999955</v>
      </c>
      <c r="O61" s="15">
        <f>AVERAGEIFS(PAGESPEED_RAW[CLS],PAGESPEED_RAW[Page_ID],A61,PAGESPEED_RAW[Device],"mobile")</f>
        <v>0</v>
      </c>
      <c r="P61" t="str">
        <f t="shared" si="2"/>
        <v>Critical</v>
      </c>
      <c r="Q61" t="str">
        <f t="shared" si="3"/>
        <v>Slow LCP</v>
      </c>
      <c r="R61" t="str">
        <f t="shared" si="4"/>
        <v>Optimize images, reduce render blocking resources, improve server response time</v>
      </c>
      <c r="S61">
        <f t="shared" si="5"/>
        <v>2</v>
      </c>
      <c r="T61">
        <f t="shared" si="6"/>
        <v>3</v>
      </c>
      <c r="U61">
        <f t="shared" si="7"/>
        <v>1</v>
      </c>
      <c r="V61">
        <f t="shared" si="8"/>
        <v>2</v>
      </c>
      <c r="W61">
        <f t="shared" si="9"/>
        <v>8</v>
      </c>
      <c r="X61">
        <f t="shared" si="10"/>
        <v>5</v>
      </c>
      <c r="Y61" t="str">
        <f t="shared" si="11"/>
        <v>Priority Optimization</v>
      </c>
    </row>
    <row r="62" spans="1:25">
      <c r="A62" t="str">
        <v>P061</v>
      </c>
      <c r="B62" t="str">
        <f>_xlfn.XLOOKUP(A62,PAGESPEED_RAW[Page_ID],PAGESPEED_RAW[URL])</f>
        <v>https://pmb.widyatama.ac.id/program-studi/teknik-mesin-s1/</v>
      </c>
      <c r="C62" t="str">
        <f>_xlfn.XLOOKUP(A62,PAGESPEED_RAW[Page_ID],PAGESPEED_RAW[Final_Page_Type])</f>
        <v>Program</v>
      </c>
      <c r="D62" t="str">
        <f>_xlfn.XLOOKUP(A62,PAGESPEED_RAW[Page_ID],PAGESPEED_RAW[Speed_Test_Segment])</f>
        <v>Core PMB Website</v>
      </c>
      <c r="E62" t="str">
        <f>_xlfn.XLOOKUP(A62,PAGESPEED_RAW[Page_ID],PAGESPEED_RAW[Test_Priority])</f>
        <v>P1 - Critical</v>
      </c>
      <c r="F62">
        <f>AVERAGEIFS(PAGESPEED_RAW[Performance],PAGESPEED_RAW[Page_ID],A62,PAGESPEED_RAW[Device],"mobile")</f>
        <v>57</v>
      </c>
      <c r="G62">
        <f>AVERAGEIFS(PAGESPEED_RAW[Performance],PAGESPEED_RAW[Page_ID],A62,PAGESPEED_RAW[Device],"desktop")</f>
        <v>75</v>
      </c>
      <c r="H62">
        <f t="shared" si="0"/>
        <v>18</v>
      </c>
      <c r="I62" s="14">
        <f>AVERAGEIFS(PAGESPEED_RAW[LCP],PAGESPEED_RAW[Page_ID],A62,PAGESPEED_RAW[Device],"mobile")</f>
        <v>19576.13135596256</v>
      </c>
      <c r="J62" s="14">
        <f>AVERAGEIFS(PAGESPEED_RAW[LCP],PAGESPEED_RAW[Page_ID],A62,PAGESPEED_RAW[Device],"desktop")</f>
        <v>3241.0994748911462</v>
      </c>
      <c r="K62" s="14">
        <f t="shared" si="1"/>
        <v>16335.031881071412</v>
      </c>
      <c r="L62" s="14">
        <f>AVERAGEIFS(PAGESPEED_RAW[FCP],PAGESPEED_RAW[Page_ID],A62,PAGESPEED_RAW[Device],"mobile")</f>
        <v>4951.0316889870755</v>
      </c>
      <c r="M62" s="14">
        <f>AVERAGEIFS(PAGESPEED_RAW[FCP],PAGESPEED_RAW[Page_ID],A62,PAGESPEED_RAW[Device],"desktop")</f>
        <v>881.02518351674587</v>
      </c>
      <c r="N62" s="14">
        <f>AVERAGEIFS(PAGESPEED_RAW[TBT],PAGESPEED_RAW[Page_ID],A62,PAGESPEED_RAW[Device],"mobile")</f>
        <v>0</v>
      </c>
      <c r="O62" s="15">
        <f>AVERAGEIFS(PAGESPEED_RAW[CLS],PAGESPEED_RAW[Page_ID],A62,PAGESPEED_RAW[Device],"mobile")</f>
        <v>0</v>
      </c>
      <c r="P62" t="str">
        <f t="shared" si="2"/>
        <v>Critical</v>
      </c>
      <c r="Q62" t="str">
        <f t="shared" si="3"/>
        <v>Slow LCP</v>
      </c>
      <c r="R62" t="str">
        <f t="shared" si="4"/>
        <v>Optimize images, reduce render blocking resources, improve server response time</v>
      </c>
      <c r="S62">
        <f t="shared" si="5"/>
        <v>2</v>
      </c>
      <c r="T62">
        <f t="shared" si="6"/>
        <v>3</v>
      </c>
      <c r="U62">
        <f t="shared" si="7"/>
        <v>1</v>
      </c>
      <c r="V62">
        <f t="shared" si="8"/>
        <v>2</v>
      </c>
      <c r="W62">
        <f t="shared" si="9"/>
        <v>8</v>
      </c>
      <c r="X62">
        <f t="shared" si="10"/>
        <v>5</v>
      </c>
      <c r="Y62" t="str">
        <f t="shared" si="11"/>
        <v>Priority Optimization</v>
      </c>
    </row>
    <row r="63" spans="1:25">
      <c r="A63" t="str">
        <v>P062</v>
      </c>
      <c r="B63" t="str">
        <f>_xlfn.XLOOKUP(A63,PAGESPEED_RAW[Page_ID],PAGESPEED_RAW[URL])</f>
        <v>https://pmb.widyatama.ac.id/program-studi/branding-design-strategy-d4/</v>
      </c>
      <c r="C63" t="str">
        <f>_xlfn.XLOOKUP(A63,PAGESPEED_RAW[Page_ID],PAGESPEED_RAW[Final_Page_Type])</f>
        <v>Program</v>
      </c>
      <c r="D63" t="str">
        <f>_xlfn.XLOOKUP(A63,PAGESPEED_RAW[Page_ID],PAGESPEED_RAW[Speed_Test_Segment])</f>
        <v>Core PMB Website</v>
      </c>
      <c r="E63" t="str">
        <f>_xlfn.XLOOKUP(A63,PAGESPEED_RAW[Page_ID],PAGESPEED_RAW[Test_Priority])</f>
        <v>P1 - Critical</v>
      </c>
      <c r="F63">
        <f>AVERAGEIFS(PAGESPEED_RAW[Performance],PAGESPEED_RAW[Page_ID],A63,PAGESPEED_RAW[Device],"mobile")</f>
        <v>57</v>
      </c>
      <c r="G63">
        <f>AVERAGEIFS(PAGESPEED_RAW[Performance],PAGESPEED_RAW[Page_ID],A63,PAGESPEED_RAW[Device],"desktop")</f>
        <v>71</v>
      </c>
      <c r="H63">
        <f t="shared" si="0"/>
        <v>14</v>
      </c>
      <c r="I63" s="14">
        <f>AVERAGEIFS(PAGESPEED_RAW[LCP],PAGESPEED_RAW[Page_ID],A63,PAGESPEED_RAW[Device],"mobile")</f>
        <v>26779.643580111075</v>
      </c>
      <c r="J63" s="14">
        <f>AVERAGEIFS(PAGESPEED_RAW[LCP],PAGESPEED_RAW[Page_ID],A63,PAGESPEED_RAW[Device],"desktop")</f>
        <v>4241.0680228176516</v>
      </c>
      <c r="K63" s="14">
        <f t="shared" si="1"/>
        <v>22538.575557293421</v>
      </c>
      <c r="L63" s="14">
        <f>AVERAGEIFS(PAGESPEED_RAW[FCP],PAGESPEED_RAW[Page_ID],A63,PAGESPEED_RAW[Device],"mobile")</f>
        <v>4951.025218036506</v>
      </c>
      <c r="M63" s="14">
        <f>AVERAGEIFS(PAGESPEED_RAW[FCP],PAGESPEED_RAW[Page_ID],A63,PAGESPEED_RAW[Device],"desktop")</f>
        <v>881.01308131108703</v>
      </c>
      <c r="N63" s="14">
        <f>AVERAGEIFS(PAGESPEED_RAW[TBT],PAGESPEED_RAW[Page_ID],A63,PAGESPEED_RAW[Device],"mobile")</f>
        <v>16</v>
      </c>
      <c r="O63" s="15">
        <f>AVERAGEIFS(PAGESPEED_RAW[CLS],PAGESPEED_RAW[Page_ID],A63,PAGESPEED_RAW[Device],"mobile")</f>
        <v>0</v>
      </c>
      <c r="P63" t="str">
        <f t="shared" si="2"/>
        <v>Critical</v>
      </c>
      <c r="Q63" t="str">
        <f t="shared" si="3"/>
        <v>Slow LCP</v>
      </c>
      <c r="R63" t="str">
        <f t="shared" si="4"/>
        <v>Optimize images, reduce render blocking resources, improve server response time</v>
      </c>
      <c r="S63">
        <f t="shared" si="5"/>
        <v>2</v>
      </c>
      <c r="T63">
        <f t="shared" si="6"/>
        <v>3</v>
      </c>
      <c r="U63">
        <f t="shared" si="7"/>
        <v>1</v>
      </c>
      <c r="V63">
        <f t="shared" si="8"/>
        <v>1</v>
      </c>
      <c r="W63">
        <f t="shared" si="9"/>
        <v>7</v>
      </c>
      <c r="X63">
        <f t="shared" si="10"/>
        <v>44</v>
      </c>
      <c r="Y63" t="str">
        <f t="shared" si="11"/>
        <v>Priority Optimization</v>
      </c>
    </row>
    <row r="64" spans="1:25">
      <c r="A64" t="str">
        <v>P063</v>
      </c>
      <c r="B64" t="str">
        <f>_xlfn.XLOOKUP(A64,PAGESPEED_RAW[Page_ID],PAGESPEED_RAW[URL])</f>
        <v>https://pmb.widyatama.ac.id/program-studi/bahasa-jepang-s1/</v>
      </c>
      <c r="C64" t="str">
        <f>_xlfn.XLOOKUP(A64,PAGESPEED_RAW[Page_ID],PAGESPEED_RAW[Final_Page_Type])</f>
        <v>Program</v>
      </c>
      <c r="D64" t="str">
        <f>_xlfn.XLOOKUP(A64,PAGESPEED_RAW[Page_ID],PAGESPEED_RAW[Speed_Test_Segment])</f>
        <v>Core PMB Website</v>
      </c>
      <c r="E64" t="str">
        <f>_xlfn.XLOOKUP(A64,PAGESPEED_RAW[Page_ID],PAGESPEED_RAW[Test_Priority])</f>
        <v>P1 - Critical</v>
      </c>
      <c r="F64">
        <f>AVERAGEIFS(PAGESPEED_RAW[Performance],PAGESPEED_RAW[Page_ID],A64,PAGESPEED_RAW[Device],"mobile")</f>
        <v>57</v>
      </c>
      <c r="G64">
        <f>AVERAGEIFS(PAGESPEED_RAW[Performance],PAGESPEED_RAW[Page_ID],A64,PAGESPEED_RAW[Device],"desktop")</f>
        <v>74</v>
      </c>
      <c r="H64">
        <f t="shared" si="0"/>
        <v>17</v>
      </c>
      <c r="I64" s="14">
        <f>AVERAGEIFS(PAGESPEED_RAW[LCP],PAGESPEED_RAW[Page_ID],A64,PAGESPEED_RAW[Device],"mobile")</f>
        <v>20626.106506767581</v>
      </c>
      <c r="J64" s="14">
        <f>AVERAGEIFS(PAGESPEED_RAW[LCP],PAGESPEED_RAW[Page_ID],A64,PAGESPEED_RAW[Device],"desktop")</f>
        <v>3321.0306134828916</v>
      </c>
      <c r="K64" s="14">
        <f t="shared" si="1"/>
        <v>17305.075893284687</v>
      </c>
      <c r="L64" s="14">
        <f>AVERAGEIFS(PAGESPEED_RAW[FCP],PAGESPEED_RAW[Page_ID],A64,PAGESPEED_RAW[Device],"mobile")</f>
        <v>4951.0243668619569</v>
      </c>
      <c r="M64" s="14">
        <f>AVERAGEIFS(PAGESPEED_RAW[FCP],PAGESPEED_RAW[Page_ID],A64,PAGESPEED_RAW[Device],"desktop")</f>
        <v>881.00755888466495</v>
      </c>
      <c r="N64" s="14">
        <f>AVERAGEIFS(PAGESPEED_RAW[TBT],PAGESPEED_RAW[Page_ID],A64,PAGESPEED_RAW[Device],"mobile")</f>
        <v>3</v>
      </c>
      <c r="O64" s="15">
        <f>AVERAGEIFS(PAGESPEED_RAW[CLS],PAGESPEED_RAW[Page_ID],A64,PAGESPEED_RAW[Device],"mobile")</f>
        <v>0</v>
      </c>
      <c r="P64" t="str">
        <f t="shared" si="2"/>
        <v>Critical</v>
      </c>
      <c r="Q64" t="str">
        <f t="shared" si="3"/>
        <v>Slow LCP</v>
      </c>
      <c r="R64" t="str">
        <f t="shared" si="4"/>
        <v>Optimize images, reduce render blocking resources, improve server response time</v>
      </c>
      <c r="S64">
        <f t="shared" si="5"/>
        <v>2</v>
      </c>
      <c r="T64">
        <f t="shared" si="6"/>
        <v>3</v>
      </c>
      <c r="U64">
        <f t="shared" si="7"/>
        <v>1</v>
      </c>
      <c r="V64">
        <f t="shared" si="8"/>
        <v>2</v>
      </c>
      <c r="W64">
        <f t="shared" si="9"/>
        <v>8</v>
      </c>
      <c r="X64">
        <f t="shared" si="10"/>
        <v>5</v>
      </c>
      <c r="Y64" t="str">
        <f t="shared" si="11"/>
        <v>Priority Optimization</v>
      </c>
    </row>
    <row r="65" spans="1:25">
      <c r="A65" t="str">
        <v>P064</v>
      </c>
      <c r="B65" t="str">
        <f>_xlfn.XLOOKUP(A65,PAGESPEED_RAW[Page_ID],PAGESPEED_RAW[URL])</f>
        <v>https://pmb.widyatama.ac.id/program-studi/japanese-for-business-and-tourism-d3/</v>
      </c>
      <c r="C65" t="str">
        <f>_xlfn.XLOOKUP(A65,PAGESPEED_RAW[Page_ID],PAGESPEED_RAW[Final_Page_Type])</f>
        <v>Program</v>
      </c>
      <c r="D65" t="str">
        <f>_xlfn.XLOOKUP(A65,PAGESPEED_RAW[Page_ID],PAGESPEED_RAW[Speed_Test_Segment])</f>
        <v>Core PMB Website</v>
      </c>
      <c r="E65" t="str">
        <f>_xlfn.XLOOKUP(A65,PAGESPEED_RAW[Page_ID],PAGESPEED_RAW[Test_Priority])</f>
        <v>P1 - Critical</v>
      </c>
      <c r="F65">
        <f>AVERAGEIFS(PAGESPEED_RAW[Performance],PAGESPEED_RAW[Page_ID],A65,PAGESPEED_RAW[Device],"mobile")</f>
        <v>58</v>
      </c>
      <c r="G65">
        <f>AVERAGEIFS(PAGESPEED_RAW[Performance],PAGESPEED_RAW[Page_ID],A65,PAGESPEED_RAW[Device],"desktop")</f>
        <v>71</v>
      </c>
      <c r="H65">
        <f t="shared" si="0"/>
        <v>13</v>
      </c>
      <c r="I65" s="14">
        <f>AVERAGEIFS(PAGESPEED_RAW[LCP],PAGESPEED_RAW[Page_ID],A65,PAGESPEED_RAW[Device],"mobile")</f>
        <v>24901.133431296454</v>
      </c>
      <c r="J65" s="14">
        <f>AVERAGEIFS(PAGESPEED_RAW[LCP],PAGESPEED_RAW[Page_ID],A65,PAGESPEED_RAW[Device],"desktop")</f>
        <v>4201.1069449627539</v>
      </c>
      <c r="K65" s="14">
        <f t="shared" si="1"/>
        <v>20700.0264863337</v>
      </c>
      <c r="L65" s="14">
        <f>AVERAGEIFS(PAGESPEED_RAW[FCP],PAGESPEED_RAW[Page_ID],A65,PAGESPEED_RAW[Device],"mobile")</f>
        <v>4201.0211537421219</v>
      </c>
      <c r="M65" s="14">
        <f>AVERAGEIFS(PAGESPEED_RAW[FCP],PAGESPEED_RAW[Page_ID],A65,PAGESPEED_RAW[Device],"desktop")</f>
        <v>881.02076601218528</v>
      </c>
      <c r="N65" s="14">
        <f>AVERAGEIFS(PAGESPEED_RAW[TBT],PAGESPEED_RAW[Page_ID],A65,PAGESPEED_RAW[Device],"mobile")</f>
        <v>18</v>
      </c>
      <c r="O65" s="15">
        <f>AVERAGEIFS(PAGESPEED_RAW[CLS],PAGESPEED_RAW[Page_ID],A65,PAGESPEED_RAW[Device],"mobile")</f>
        <v>1.054463450037553E-2</v>
      </c>
      <c r="P65" t="str">
        <f t="shared" si="2"/>
        <v>Critical</v>
      </c>
      <c r="Q65" t="str">
        <f t="shared" si="3"/>
        <v>Slow LCP</v>
      </c>
      <c r="R65" t="str">
        <f t="shared" si="4"/>
        <v>Optimize images, reduce render blocking resources, improve server response time</v>
      </c>
      <c r="S65">
        <f t="shared" si="5"/>
        <v>2</v>
      </c>
      <c r="T65">
        <f t="shared" si="6"/>
        <v>3</v>
      </c>
      <c r="U65">
        <f t="shared" si="7"/>
        <v>1</v>
      </c>
      <c r="V65">
        <f t="shared" si="8"/>
        <v>1</v>
      </c>
      <c r="W65">
        <f t="shared" si="9"/>
        <v>7</v>
      </c>
      <c r="X65">
        <f t="shared" si="10"/>
        <v>44</v>
      </c>
      <c r="Y65" t="str">
        <f t="shared" si="11"/>
        <v>Priority Optimization</v>
      </c>
    </row>
    <row r="66" spans="1:25">
      <c r="A66" t="str">
        <v>P065</v>
      </c>
      <c r="B66" t="str">
        <f>_xlfn.XLOOKUP(A66,PAGESPEED_RAW[Page_ID],PAGESPEED_RAW[URL])</f>
        <v>https://pmb.widyatama.ac.id/program-studi/teknik-sipil-s1/</v>
      </c>
      <c r="C66" t="str">
        <f>_xlfn.XLOOKUP(A66,PAGESPEED_RAW[Page_ID],PAGESPEED_RAW[Final_Page_Type])</f>
        <v>Program</v>
      </c>
      <c r="D66" t="str">
        <f>_xlfn.XLOOKUP(A66,PAGESPEED_RAW[Page_ID],PAGESPEED_RAW[Speed_Test_Segment])</f>
        <v>Core PMB Website</v>
      </c>
      <c r="E66" t="str">
        <f>_xlfn.XLOOKUP(A66,PAGESPEED_RAW[Page_ID],PAGESPEED_RAW[Test_Priority])</f>
        <v>P1 - Critical</v>
      </c>
      <c r="F66">
        <f>AVERAGEIFS(PAGESPEED_RAW[Performance],PAGESPEED_RAW[Page_ID],A66,PAGESPEED_RAW[Device],"mobile")</f>
        <v>57</v>
      </c>
      <c r="G66">
        <f>AVERAGEIFS(PAGESPEED_RAW[Performance],PAGESPEED_RAW[Page_ID],A66,PAGESPEED_RAW[Device],"desktop")</f>
        <v>70</v>
      </c>
      <c r="H66">
        <f t="shared" si="0"/>
        <v>13</v>
      </c>
      <c r="I66" s="14">
        <f>AVERAGEIFS(PAGESPEED_RAW[LCP],PAGESPEED_RAW[Page_ID],A66,PAGESPEED_RAW[Device],"mobile")</f>
        <v>23926.190740449729</v>
      </c>
      <c r="J66" s="14">
        <f>AVERAGEIFS(PAGESPEED_RAW[LCP],PAGESPEED_RAW[Page_ID],A66,PAGESPEED_RAW[Device],"desktop")</f>
        <v>4321.0823634209064</v>
      </c>
      <c r="K66" s="14">
        <f t="shared" si="1"/>
        <v>19605.108377028824</v>
      </c>
      <c r="L66" s="14">
        <f>AVERAGEIFS(PAGESPEED_RAW[FCP],PAGESPEED_RAW[Page_ID],A66,PAGESPEED_RAW[Device],"mobile")</f>
        <v>4951.0375425647098</v>
      </c>
      <c r="M66" s="14">
        <f>AVERAGEIFS(PAGESPEED_RAW[FCP],PAGESPEED_RAW[Page_ID],A66,PAGESPEED_RAW[Device],"desktop")</f>
        <v>881.01554026809572</v>
      </c>
      <c r="N66" s="14">
        <f>AVERAGEIFS(PAGESPEED_RAW[TBT],PAGESPEED_RAW[Page_ID],A66,PAGESPEED_RAW[Device],"mobile")</f>
        <v>0</v>
      </c>
      <c r="O66" s="15">
        <f>AVERAGEIFS(PAGESPEED_RAW[CLS],PAGESPEED_RAW[Page_ID],A66,PAGESPEED_RAW[Device],"mobile")</f>
        <v>0</v>
      </c>
      <c r="P66" t="str">
        <f t="shared" si="2"/>
        <v>Critical</v>
      </c>
      <c r="Q66" t="str">
        <f t="shared" si="3"/>
        <v>Slow LCP</v>
      </c>
      <c r="R66" t="str">
        <f t="shared" si="4"/>
        <v>Optimize images, reduce render blocking resources, improve server response time</v>
      </c>
      <c r="S66">
        <f t="shared" si="5"/>
        <v>2</v>
      </c>
      <c r="T66">
        <f t="shared" si="6"/>
        <v>3</v>
      </c>
      <c r="U66">
        <f t="shared" si="7"/>
        <v>1</v>
      </c>
      <c r="V66">
        <f t="shared" si="8"/>
        <v>1</v>
      </c>
      <c r="W66">
        <f t="shared" si="9"/>
        <v>7</v>
      </c>
      <c r="X66">
        <f t="shared" si="10"/>
        <v>44</v>
      </c>
      <c r="Y66" t="str">
        <f t="shared" si="11"/>
        <v>Priority Optimization</v>
      </c>
    </row>
    <row r="67" spans="1:25">
      <c r="A67" t="str">
        <v>P066</v>
      </c>
      <c r="B67" t="str">
        <f>_xlfn.XLOOKUP(A67,PAGESPEED_RAW[Page_ID],PAGESPEED_RAW[URL])</f>
        <v>https://pmb.widyatama.ac.id/program-studi/manajemen-sumber-daya-manusia-s1/</v>
      </c>
      <c r="C67" t="str">
        <f>_xlfn.XLOOKUP(A67,PAGESPEED_RAW[Page_ID],PAGESPEED_RAW[Final_Page_Type])</f>
        <v>Program</v>
      </c>
      <c r="D67" t="str">
        <f>_xlfn.XLOOKUP(A67,PAGESPEED_RAW[Page_ID],PAGESPEED_RAW[Speed_Test_Segment])</f>
        <v>Core PMB Website</v>
      </c>
      <c r="E67" t="str">
        <f>_xlfn.XLOOKUP(A67,PAGESPEED_RAW[Page_ID],PAGESPEED_RAW[Test_Priority])</f>
        <v>P1 - Critical</v>
      </c>
      <c r="F67">
        <f>AVERAGEIFS(PAGESPEED_RAW[Performance],PAGESPEED_RAW[Page_ID],A67,PAGESPEED_RAW[Device],"mobile")</f>
        <v>57</v>
      </c>
      <c r="G67">
        <f>AVERAGEIFS(PAGESPEED_RAW[Performance],PAGESPEED_RAW[Page_ID],A67,PAGESPEED_RAW[Device],"desktop")</f>
        <v>71</v>
      </c>
      <c r="H67">
        <f t="shared" ref="H67:H88" si="12">G67-F67</f>
        <v>14</v>
      </c>
      <c r="I67" s="14">
        <f>AVERAGEIFS(PAGESPEED_RAW[LCP],PAGESPEED_RAW[Page_ID],A67,PAGESPEED_RAW[Device],"mobile")</f>
        <v>27001.143495023422</v>
      </c>
      <c r="J67" s="14">
        <f>AVERAGEIFS(PAGESPEED_RAW[LCP],PAGESPEED_RAW[Page_ID],A67,PAGESPEED_RAW[Device],"desktop")</f>
        <v>4361.0825967953197</v>
      </c>
      <c r="K67" s="14">
        <f t="shared" ref="K67:K88" si="13">I67-J67</f>
        <v>22640.060898228101</v>
      </c>
      <c r="L67" s="14">
        <f>AVERAGEIFS(PAGESPEED_RAW[FCP],PAGESPEED_RAW[Page_ID],A67,PAGESPEED_RAW[Device],"mobile")</f>
        <v>4951.0249907063298</v>
      </c>
      <c r="M67" s="14">
        <f>AVERAGEIFS(PAGESPEED_RAW[FCP],PAGESPEED_RAW[Page_ID],A67,PAGESPEED_RAW[Device],"desktop")</f>
        <v>881.01543865333099</v>
      </c>
      <c r="N67" s="14">
        <f>AVERAGEIFS(PAGESPEED_RAW[TBT],PAGESPEED_RAW[Page_ID],A67,PAGESPEED_RAW[Device],"mobile")</f>
        <v>0</v>
      </c>
      <c r="O67" s="15">
        <f>AVERAGEIFS(PAGESPEED_RAW[CLS],PAGESPEED_RAW[Page_ID],A67,PAGESPEED_RAW[Device],"mobile")</f>
        <v>0</v>
      </c>
      <c r="P67" t="str">
        <f t="shared" ref="P67:P88" si="14">IF(OR(F67&lt;50,I67&gt;4000,N67&gt;300),"Critical",
IF(OR(F67&lt;70,I67&gt;2500,N67&gt;200),"High",
"Medium"))</f>
        <v>Critical</v>
      </c>
      <c r="Q67" t="str">
        <f t="shared" ref="Q67:Q88" si="15">IF(I67&gt;4000,"Slow LCP",
IF(N67&gt;300,"High JavaScript Blocking",
IF(F67&lt;70,"Low Mobile Performance",
"Acceptable")))</f>
        <v>Slow LCP</v>
      </c>
      <c r="R67" t="str">
        <f t="shared" ref="R67:R88" si="16">IF(I67&gt;4000,
"Optimize images, reduce render blocking resources, improve server response time",
IF(N67&gt;300,
"Reduce unused JavaScript, defer scripts, optimize third-party code",
IF(F67&lt;70,
"Improve mobile experience through caching, compression, and frontend optimization",
"Maintain current optimization")))</f>
        <v>Optimize images, reduce render blocking resources, improve server response time</v>
      </c>
      <c r="S67">
        <f t="shared" ref="S67:S88" si="17">IF(F67&lt;50,3,
IF(F67&lt;70,2,
1))</f>
        <v>2</v>
      </c>
      <c r="T67">
        <f t="shared" ref="T67:T88" si="18">IF(I67&gt;15000,3,
IF(I67&gt;4000,2,
1))</f>
        <v>3</v>
      </c>
      <c r="U67">
        <f t="shared" ref="U67:U88" si="19">IF(N67&gt;600,3,
IF(N67&gt;200,2,
1))</f>
        <v>1</v>
      </c>
      <c r="V67">
        <f t="shared" ref="V67:V88" si="20">IF(H67&gt;25,3,
IF(H67&gt;15,2,
1))</f>
        <v>1</v>
      </c>
      <c r="W67">
        <f t="shared" ref="W67:W88" si="21">SUM(S67:V67)</f>
        <v>7</v>
      </c>
      <c r="X67">
        <f t="shared" ref="X67:X88" si="22">RANK(W67,$W$2:$W$88,0)</f>
        <v>44</v>
      </c>
      <c r="Y67" t="str">
        <f t="shared" ref="Y67:Y88" si="23">IF(W67&gt;=10,"Immediate Optimization",
IF(W67&gt;=7,"Priority Optimization",
"Routine Optimization"))</f>
        <v>Priority Optimization</v>
      </c>
    </row>
    <row r="68" spans="1:25">
      <c r="A68" t="str">
        <v>P067</v>
      </c>
      <c r="B68" t="str">
        <f>_xlfn.XLOOKUP(A68,PAGESPEED_RAW[Page_ID],PAGESPEED_RAW[URL])</f>
        <v>https://pmb.widyatama.ac.id/program-studi/manajemen-operasional-s1/</v>
      </c>
      <c r="C68" t="str">
        <f>_xlfn.XLOOKUP(A68,PAGESPEED_RAW[Page_ID],PAGESPEED_RAW[Final_Page_Type])</f>
        <v>Program</v>
      </c>
      <c r="D68" t="str">
        <f>_xlfn.XLOOKUP(A68,PAGESPEED_RAW[Page_ID],PAGESPEED_RAW[Speed_Test_Segment])</f>
        <v>Core PMB Website</v>
      </c>
      <c r="E68" t="str">
        <f>_xlfn.XLOOKUP(A68,PAGESPEED_RAW[Page_ID],PAGESPEED_RAW[Test_Priority])</f>
        <v>P1 - Critical</v>
      </c>
      <c r="F68">
        <f>AVERAGEIFS(PAGESPEED_RAW[Performance],PAGESPEED_RAW[Page_ID],A68,PAGESPEED_RAW[Device],"mobile")</f>
        <v>57</v>
      </c>
      <c r="G68">
        <f>AVERAGEIFS(PAGESPEED_RAW[Performance],PAGESPEED_RAW[Page_ID],A68,PAGESPEED_RAW[Device],"desktop")</f>
        <v>70</v>
      </c>
      <c r="H68">
        <f t="shared" si="12"/>
        <v>13</v>
      </c>
      <c r="I68" s="14">
        <f>AVERAGEIFS(PAGESPEED_RAW[LCP],PAGESPEED_RAW[Page_ID],A68,PAGESPEED_RAW[Device],"mobile")</f>
        <v>25510.716246591066</v>
      </c>
      <c r="J68" s="14">
        <f>AVERAGEIFS(PAGESPEED_RAW[LCP],PAGESPEED_RAW[Page_ID],A68,PAGESPEED_RAW[Device],"desktop")</f>
        <v>4641.072646916231</v>
      </c>
      <c r="K68" s="14">
        <f t="shared" si="13"/>
        <v>20869.643599674833</v>
      </c>
      <c r="L68" s="14">
        <f>AVERAGEIFS(PAGESPEED_RAW[FCP],PAGESPEED_RAW[Page_ID],A68,PAGESPEED_RAW[Device],"mobile")</f>
        <v>4951.039902644784</v>
      </c>
      <c r="M68" s="14">
        <f>AVERAGEIFS(PAGESPEED_RAW[FCP],PAGESPEED_RAW[Page_ID],A68,PAGESPEED_RAW[Device],"desktop")</f>
        <v>881.01274507302321</v>
      </c>
      <c r="N68" s="14">
        <f>AVERAGEIFS(PAGESPEED_RAW[TBT],PAGESPEED_RAW[Page_ID],A68,PAGESPEED_RAW[Device],"mobile")</f>
        <v>1</v>
      </c>
      <c r="O68" s="15">
        <f>AVERAGEIFS(PAGESPEED_RAW[CLS],PAGESPEED_RAW[Page_ID],A68,PAGESPEED_RAW[Device],"mobile")</f>
        <v>0</v>
      </c>
      <c r="P68" t="str">
        <f t="shared" si="14"/>
        <v>Critical</v>
      </c>
      <c r="Q68" t="str">
        <f t="shared" si="15"/>
        <v>Slow LCP</v>
      </c>
      <c r="R68" t="str">
        <f t="shared" si="16"/>
        <v>Optimize images, reduce render blocking resources, improve server response time</v>
      </c>
      <c r="S68">
        <f t="shared" si="17"/>
        <v>2</v>
      </c>
      <c r="T68">
        <f t="shared" si="18"/>
        <v>3</v>
      </c>
      <c r="U68">
        <f t="shared" si="19"/>
        <v>1</v>
      </c>
      <c r="V68">
        <f t="shared" si="20"/>
        <v>1</v>
      </c>
      <c r="W68">
        <f t="shared" si="21"/>
        <v>7</v>
      </c>
      <c r="X68">
        <f t="shared" si="22"/>
        <v>44</v>
      </c>
      <c r="Y68" t="str">
        <f t="shared" si="23"/>
        <v>Priority Optimization</v>
      </c>
    </row>
    <row r="69" spans="1:25">
      <c r="A69" t="str">
        <v>P068</v>
      </c>
      <c r="B69" t="str">
        <f>_xlfn.XLOOKUP(A69,PAGESPEED_RAW[Page_ID],PAGESPEED_RAW[URL])</f>
        <v>https://pmb.widyatama.ac.id/program-studi/manajemen-kewirausahaan-s1/</v>
      </c>
      <c r="C69" t="str">
        <f>_xlfn.XLOOKUP(A69,PAGESPEED_RAW[Page_ID],PAGESPEED_RAW[Final_Page_Type])</f>
        <v>Program</v>
      </c>
      <c r="D69" t="str">
        <f>_xlfn.XLOOKUP(A69,PAGESPEED_RAW[Page_ID],PAGESPEED_RAW[Speed_Test_Segment])</f>
        <v>Core PMB Website</v>
      </c>
      <c r="E69" t="str">
        <f>_xlfn.XLOOKUP(A69,PAGESPEED_RAW[Page_ID],PAGESPEED_RAW[Test_Priority])</f>
        <v>P1 - Critical</v>
      </c>
      <c r="F69">
        <f>AVERAGEIFS(PAGESPEED_RAW[Performance],PAGESPEED_RAW[Page_ID],A69,PAGESPEED_RAW[Device],"mobile")</f>
        <v>57</v>
      </c>
      <c r="G69">
        <f>AVERAGEIFS(PAGESPEED_RAW[Performance],PAGESPEED_RAW[Page_ID],A69,PAGESPEED_RAW[Device],"desktop")</f>
        <v>71</v>
      </c>
      <c r="H69">
        <f t="shared" si="12"/>
        <v>14</v>
      </c>
      <c r="I69" s="14">
        <f>AVERAGEIFS(PAGESPEED_RAW[LCP],PAGESPEED_RAW[Page_ID],A69,PAGESPEED_RAW[Device],"mobile")</f>
        <v>22879.072642063486</v>
      </c>
      <c r="J69" s="14">
        <f>AVERAGEIFS(PAGESPEED_RAW[LCP],PAGESPEED_RAW[Page_ID],A69,PAGESPEED_RAW[Device],"desktop")</f>
        <v>4164.3418638374415</v>
      </c>
      <c r="K69" s="14">
        <f t="shared" si="13"/>
        <v>18714.730778226043</v>
      </c>
      <c r="L69" s="14">
        <f>AVERAGEIFS(PAGESPEED_RAW[FCP],PAGESPEED_RAW[Page_ID],A69,PAGESPEED_RAW[Device],"mobile")</f>
        <v>4951.0149628170657</v>
      </c>
      <c r="M69" s="14">
        <f>AVERAGEIFS(PAGESPEED_RAW[FCP],PAGESPEED_RAW[Page_ID],A69,PAGESPEED_RAW[Device],"desktop")</f>
        <v>881.65526741910617</v>
      </c>
      <c r="N69" s="14">
        <f>AVERAGEIFS(PAGESPEED_RAW[TBT],PAGESPEED_RAW[Page_ID],A69,PAGESPEED_RAW[Device],"mobile")</f>
        <v>20</v>
      </c>
      <c r="O69" s="15">
        <f>AVERAGEIFS(PAGESPEED_RAW[CLS],PAGESPEED_RAW[Page_ID],A69,PAGESPEED_RAW[Device],"mobile")</f>
        <v>0</v>
      </c>
      <c r="P69" t="str">
        <f t="shared" si="14"/>
        <v>Critical</v>
      </c>
      <c r="Q69" t="str">
        <f t="shared" si="15"/>
        <v>Slow LCP</v>
      </c>
      <c r="R69" t="str">
        <f t="shared" si="16"/>
        <v>Optimize images, reduce render blocking resources, improve server response time</v>
      </c>
      <c r="S69">
        <f t="shared" si="17"/>
        <v>2</v>
      </c>
      <c r="T69">
        <f t="shared" si="18"/>
        <v>3</v>
      </c>
      <c r="U69">
        <f t="shared" si="19"/>
        <v>1</v>
      </c>
      <c r="V69">
        <f t="shared" si="20"/>
        <v>1</v>
      </c>
      <c r="W69">
        <f t="shared" si="21"/>
        <v>7</v>
      </c>
      <c r="X69">
        <f t="shared" si="22"/>
        <v>44</v>
      </c>
      <c r="Y69" t="str">
        <f t="shared" si="23"/>
        <v>Priority Optimization</v>
      </c>
    </row>
    <row r="70" spans="1:25">
      <c r="A70" t="str">
        <v>P069</v>
      </c>
      <c r="B70" t="str">
        <f>_xlfn.XLOOKUP(A70,PAGESPEED_RAW[Page_ID],PAGESPEED_RAW[URL])</f>
        <v>https://pmb.widyatama.ac.id/program-studi/teknik-industri-s1/</v>
      </c>
      <c r="C70" t="str">
        <f>_xlfn.XLOOKUP(A70,PAGESPEED_RAW[Page_ID],PAGESPEED_RAW[Final_Page_Type])</f>
        <v>Program</v>
      </c>
      <c r="D70" t="str">
        <f>_xlfn.XLOOKUP(A70,PAGESPEED_RAW[Page_ID],PAGESPEED_RAW[Speed_Test_Segment])</f>
        <v>Core PMB Website</v>
      </c>
      <c r="E70" t="str">
        <f>_xlfn.XLOOKUP(A70,PAGESPEED_RAW[Page_ID],PAGESPEED_RAW[Test_Priority])</f>
        <v>P1 - Critical</v>
      </c>
      <c r="F70">
        <f>AVERAGEIFS(PAGESPEED_RAW[Performance],PAGESPEED_RAW[Page_ID],A70,PAGESPEED_RAW[Device],"mobile")</f>
        <v>57</v>
      </c>
      <c r="G70">
        <f>AVERAGEIFS(PAGESPEED_RAW[Performance],PAGESPEED_RAW[Page_ID],A70,PAGESPEED_RAW[Device],"desktop")</f>
        <v>74</v>
      </c>
      <c r="H70">
        <f t="shared" si="12"/>
        <v>17</v>
      </c>
      <c r="I70" s="14">
        <f>AVERAGEIFS(PAGESPEED_RAW[LCP],PAGESPEED_RAW[Page_ID],A70,PAGESPEED_RAW[Device],"mobile")</f>
        <v>21526.094681773873</v>
      </c>
      <c r="J70" s="14">
        <f>AVERAGEIFS(PAGESPEED_RAW[LCP],PAGESPEED_RAW[Page_ID],A70,PAGESPEED_RAW[Device],"desktop")</f>
        <v>3601.0697879620502</v>
      </c>
      <c r="K70" s="14">
        <f t="shared" si="13"/>
        <v>17925.024893811824</v>
      </c>
      <c r="L70" s="14">
        <f>AVERAGEIFS(PAGESPEED_RAW[FCP],PAGESPEED_RAW[Page_ID],A70,PAGESPEED_RAW[Device],"mobile")</f>
        <v>4951.0207430034661</v>
      </c>
      <c r="M70" s="14">
        <f>AVERAGEIFS(PAGESPEED_RAW[FCP],PAGESPEED_RAW[Page_ID],A70,PAGESPEED_RAW[Device],"desktop")</f>
        <v>881.01586090046544</v>
      </c>
      <c r="N70" s="14">
        <f>AVERAGEIFS(PAGESPEED_RAW[TBT],PAGESPEED_RAW[Page_ID],A70,PAGESPEED_RAW[Device],"mobile")</f>
        <v>0</v>
      </c>
      <c r="O70" s="15">
        <f>AVERAGEIFS(PAGESPEED_RAW[CLS],PAGESPEED_RAW[Page_ID],A70,PAGESPEED_RAW[Device],"mobile")</f>
        <v>0</v>
      </c>
      <c r="P70" t="str">
        <f t="shared" si="14"/>
        <v>Critical</v>
      </c>
      <c r="Q70" t="str">
        <f t="shared" si="15"/>
        <v>Slow LCP</v>
      </c>
      <c r="R70" t="str">
        <f t="shared" si="16"/>
        <v>Optimize images, reduce render blocking resources, improve server response time</v>
      </c>
      <c r="S70">
        <f t="shared" si="17"/>
        <v>2</v>
      </c>
      <c r="T70">
        <f t="shared" si="18"/>
        <v>3</v>
      </c>
      <c r="U70">
        <f t="shared" si="19"/>
        <v>1</v>
      </c>
      <c r="V70">
        <f t="shared" si="20"/>
        <v>2</v>
      </c>
      <c r="W70">
        <f t="shared" si="21"/>
        <v>8</v>
      </c>
      <c r="X70">
        <f t="shared" si="22"/>
        <v>5</v>
      </c>
      <c r="Y70" t="str">
        <f t="shared" si="23"/>
        <v>Priority Optimization</v>
      </c>
    </row>
    <row r="71" spans="1:25">
      <c r="A71" t="str">
        <v>P070</v>
      </c>
      <c r="B71" t="str">
        <f>_xlfn.XLOOKUP(A71,PAGESPEED_RAW[Page_ID],PAGESPEED_RAW[URL])</f>
        <v>https://pmb.widyatama.ac.id/program-studi/manajemen-keuangan-s1/</v>
      </c>
      <c r="C71" t="str">
        <f>_xlfn.XLOOKUP(A71,PAGESPEED_RAW[Page_ID],PAGESPEED_RAW[Final_Page_Type])</f>
        <v>Program</v>
      </c>
      <c r="D71" t="str">
        <f>_xlfn.XLOOKUP(A71,PAGESPEED_RAW[Page_ID],PAGESPEED_RAW[Speed_Test_Segment])</f>
        <v>Core PMB Website</v>
      </c>
      <c r="E71" t="str">
        <f>_xlfn.XLOOKUP(A71,PAGESPEED_RAW[Page_ID],PAGESPEED_RAW[Test_Priority])</f>
        <v>P1 - Critical</v>
      </c>
      <c r="F71">
        <f>AVERAGEIFS(PAGESPEED_RAW[Performance],PAGESPEED_RAW[Page_ID],A71,PAGESPEED_RAW[Device],"mobile")</f>
        <v>57</v>
      </c>
      <c r="G71">
        <f>AVERAGEIFS(PAGESPEED_RAW[Performance],PAGESPEED_RAW[Page_ID],A71,PAGESPEED_RAW[Device],"desktop")</f>
        <v>71</v>
      </c>
      <c r="H71">
        <f t="shared" si="12"/>
        <v>14</v>
      </c>
      <c r="I71" s="14">
        <f>AVERAGEIFS(PAGESPEED_RAW[LCP],PAGESPEED_RAW[Page_ID],A71,PAGESPEED_RAW[Device],"mobile")</f>
        <v>22355.084117648134</v>
      </c>
      <c r="J71" s="14">
        <f>AVERAGEIFS(PAGESPEED_RAW[LCP],PAGESPEED_RAW[Page_ID],A71,PAGESPEED_RAW[Device],"desktop")</f>
        <v>4081.1089640293221</v>
      </c>
      <c r="K71" s="14">
        <f t="shared" si="13"/>
        <v>18273.975153618812</v>
      </c>
      <c r="L71" s="14">
        <f>AVERAGEIFS(PAGESPEED_RAW[FCP],PAGESPEED_RAW[Page_ID],A71,PAGESPEED_RAW[Device],"mobile")</f>
        <v>4951.0177390958643</v>
      </c>
      <c r="M71" s="14">
        <f>AVERAGEIFS(PAGESPEED_RAW[FCP],PAGESPEED_RAW[Page_ID],A71,PAGESPEED_RAW[Device],"desktop")</f>
        <v>881.02179280586461</v>
      </c>
      <c r="N71" s="14">
        <f>AVERAGEIFS(PAGESPEED_RAW[TBT],PAGESPEED_RAW[Page_ID],A71,PAGESPEED_RAW[Device],"mobile")</f>
        <v>26</v>
      </c>
      <c r="O71" s="15">
        <f>AVERAGEIFS(PAGESPEED_RAW[CLS],PAGESPEED_RAW[Page_ID],A71,PAGESPEED_RAW[Device],"mobile")</f>
        <v>0</v>
      </c>
      <c r="P71" t="str">
        <f t="shared" si="14"/>
        <v>Critical</v>
      </c>
      <c r="Q71" t="str">
        <f t="shared" si="15"/>
        <v>Slow LCP</v>
      </c>
      <c r="R71" t="str">
        <f t="shared" si="16"/>
        <v>Optimize images, reduce render blocking resources, improve server response time</v>
      </c>
      <c r="S71">
        <f t="shared" si="17"/>
        <v>2</v>
      </c>
      <c r="T71">
        <f t="shared" si="18"/>
        <v>3</v>
      </c>
      <c r="U71">
        <f t="shared" si="19"/>
        <v>1</v>
      </c>
      <c r="V71">
        <f t="shared" si="20"/>
        <v>1</v>
      </c>
      <c r="W71">
        <f t="shared" si="21"/>
        <v>7</v>
      </c>
      <c r="X71">
        <f t="shared" si="22"/>
        <v>44</v>
      </c>
      <c r="Y71" t="str">
        <f t="shared" si="23"/>
        <v>Priority Optimization</v>
      </c>
    </row>
    <row r="72" spans="1:25">
      <c r="A72" t="str">
        <v>P071</v>
      </c>
      <c r="B72" t="str">
        <f>_xlfn.XLOOKUP(A72,PAGESPEED_RAW[Page_ID],PAGESPEED_RAW[URL])</f>
        <v>https://pmb.widyatama.ac.id/program-studi/sistem-informasi-s1/</v>
      </c>
      <c r="C72" t="str">
        <f>_xlfn.XLOOKUP(A72,PAGESPEED_RAW[Page_ID],PAGESPEED_RAW[Final_Page_Type])</f>
        <v>Program</v>
      </c>
      <c r="D72" t="str">
        <f>_xlfn.XLOOKUP(A72,PAGESPEED_RAW[Page_ID],PAGESPEED_RAW[Speed_Test_Segment])</f>
        <v>Core PMB Website</v>
      </c>
      <c r="E72" t="str">
        <f>_xlfn.XLOOKUP(A72,PAGESPEED_RAW[Page_ID],PAGESPEED_RAW[Test_Priority])</f>
        <v>P1 - Critical</v>
      </c>
      <c r="F72">
        <f>AVERAGEIFS(PAGESPEED_RAW[Performance],PAGESPEED_RAW[Page_ID],A72,PAGESPEED_RAW[Device],"mobile")</f>
        <v>50</v>
      </c>
      <c r="G72">
        <f>AVERAGEIFS(PAGESPEED_RAW[Performance],PAGESPEED_RAW[Page_ID],A72,PAGESPEED_RAW[Device],"desktop")</f>
        <v>72</v>
      </c>
      <c r="H72">
        <f t="shared" si="12"/>
        <v>22</v>
      </c>
      <c r="I72" s="14">
        <f>AVERAGEIFS(PAGESPEED_RAW[LCP],PAGESPEED_RAW[Page_ID],A72,PAGESPEED_RAW[Device],"mobile")</f>
        <v>19801.133185104336</v>
      </c>
      <c r="J72" s="14">
        <f>AVERAGEIFS(PAGESPEED_RAW[LCP],PAGESPEED_RAW[Page_ID],A72,PAGESPEED_RAW[Device],"desktop")</f>
        <v>3401.0705718798822</v>
      </c>
      <c r="K72" s="14">
        <f t="shared" si="13"/>
        <v>16400.062613224454</v>
      </c>
      <c r="L72" s="14">
        <f>AVERAGEIFS(PAGESPEED_RAW[FCP],PAGESPEED_RAW[Page_ID],A72,PAGESPEED_RAW[Device],"mobile")</f>
        <v>3490.0215145168527</v>
      </c>
      <c r="M72" s="14">
        <f>AVERAGEIFS(PAGESPEED_RAW[FCP],PAGESPEED_RAW[Page_ID],A72,PAGESPEED_RAW[Device],"desktop")</f>
        <v>881.01700527226035</v>
      </c>
      <c r="N72" s="14">
        <f>AVERAGEIFS(PAGESPEED_RAW[TBT],PAGESPEED_RAW[Page_ID],A72,PAGESPEED_RAW[Device],"mobile")</f>
        <v>102.00000000000045</v>
      </c>
      <c r="O72" s="15">
        <f>AVERAGEIFS(PAGESPEED_RAW[CLS],PAGESPEED_RAW[Page_ID],A72,PAGESPEED_RAW[Device],"mobile")</f>
        <v>0.18884300815967781</v>
      </c>
      <c r="P72" t="str">
        <f t="shared" si="14"/>
        <v>Critical</v>
      </c>
      <c r="Q72" t="str">
        <f t="shared" si="15"/>
        <v>Slow LCP</v>
      </c>
      <c r="R72" t="str">
        <f t="shared" si="16"/>
        <v>Optimize images, reduce render blocking resources, improve server response time</v>
      </c>
      <c r="S72">
        <f t="shared" si="17"/>
        <v>2</v>
      </c>
      <c r="T72">
        <f t="shared" si="18"/>
        <v>3</v>
      </c>
      <c r="U72">
        <f t="shared" si="19"/>
        <v>1</v>
      </c>
      <c r="V72">
        <f t="shared" si="20"/>
        <v>2</v>
      </c>
      <c r="W72">
        <f t="shared" si="21"/>
        <v>8</v>
      </c>
      <c r="X72">
        <f t="shared" si="22"/>
        <v>5</v>
      </c>
      <c r="Y72" t="str">
        <f t="shared" si="23"/>
        <v>Priority Optimization</v>
      </c>
    </row>
    <row r="73" spans="1:25">
      <c r="A73" t="str">
        <v>P072</v>
      </c>
      <c r="B73" t="str">
        <f>_xlfn.XLOOKUP(A73,PAGESPEED_RAW[Page_ID],PAGESPEED_RAW[URL])</f>
        <v>https://pmb.widyatama.ac.id/program-studi/teknik-informatika-s1/</v>
      </c>
      <c r="C73" t="str">
        <f>_xlfn.XLOOKUP(A73,PAGESPEED_RAW[Page_ID],PAGESPEED_RAW[Final_Page_Type])</f>
        <v>Program</v>
      </c>
      <c r="D73" t="str">
        <f>_xlfn.XLOOKUP(A73,PAGESPEED_RAW[Page_ID],PAGESPEED_RAW[Speed_Test_Segment])</f>
        <v>Core PMB Website</v>
      </c>
      <c r="E73" t="str">
        <f>_xlfn.XLOOKUP(A73,PAGESPEED_RAW[Page_ID],PAGESPEED_RAW[Test_Priority])</f>
        <v>P1 - Critical</v>
      </c>
      <c r="F73">
        <f>AVERAGEIFS(PAGESPEED_RAW[Performance],PAGESPEED_RAW[Page_ID],A73,PAGESPEED_RAW[Device],"mobile")</f>
        <v>57</v>
      </c>
      <c r="G73">
        <f>AVERAGEIFS(PAGESPEED_RAW[Performance],PAGESPEED_RAW[Page_ID],A73,PAGESPEED_RAW[Device],"desktop")</f>
        <v>73</v>
      </c>
      <c r="H73">
        <f t="shared" si="12"/>
        <v>16</v>
      </c>
      <c r="I73" s="14">
        <f>AVERAGEIFS(PAGESPEED_RAW[LCP],PAGESPEED_RAW[Page_ID],A73,PAGESPEED_RAW[Device],"mobile")</f>
        <v>20401.081051726476</v>
      </c>
      <c r="J73" s="14">
        <f>AVERAGEIFS(PAGESPEED_RAW[LCP],PAGESPEED_RAW[Page_ID],A73,PAGESPEED_RAW[Device],"desktop")</f>
        <v>3441.0495838285515</v>
      </c>
      <c r="K73" s="14">
        <f t="shared" si="13"/>
        <v>16960.031467897927</v>
      </c>
      <c r="L73" s="14">
        <f>AVERAGEIFS(PAGESPEED_RAW[FCP],PAGESPEED_RAW[Page_ID],A73,PAGESPEED_RAW[Device],"mobile")</f>
        <v>4951.0187507725459</v>
      </c>
      <c r="M73" s="14">
        <f>AVERAGEIFS(PAGESPEED_RAW[FCP],PAGESPEED_RAW[Page_ID],A73,PAGESPEED_RAW[Device],"desktop")</f>
        <v>881.0118056734641</v>
      </c>
      <c r="N73" s="14">
        <f>AVERAGEIFS(PAGESPEED_RAW[TBT],PAGESPEED_RAW[Page_ID],A73,PAGESPEED_RAW[Device],"mobile")</f>
        <v>0</v>
      </c>
      <c r="O73" s="15">
        <f>AVERAGEIFS(PAGESPEED_RAW[CLS],PAGESPEED_RAW[Page_ID],A73,PAGESPEED_RAW[Device],"mobile")</f>
        <v>0</v>
      </c>
      <c r="P73" t="str">
        <f t="shared" si="14"/>
        <v>Critical</v>
      </c>
      <c r="Q73" t="str">
        <f t="shared" si="15"/>
        <v>Slow LCP</v>
      </c>
      <c r="R73" t="str">
        <f t="shared" si="16"/>
        <v>Optimize images, reduce render blocking resources, improve server response time</v>
      </c>
      <c r="S73">
        <f t="shared" si="17"/>
        <v>2</v>
      </c>
      <c r="T73">
        <f t="shared" si="18"/>
        <v>3</v>
      </c>
      <c r="U73">
        <f t="shared" si="19"/>
        <v>1</v>
      </c>
      <c r="V73">
        <f t="shared" si="20"/>
        <v>2</v>
      </c>
      <c r="W73">
        <f t="shared" si="21"/>
        <v>8</v>
      </c>
      <c r="X73">
        <f t="shared" si="22"/>
        <v>5</v>
      </c>
      <c r="Y73" t="str">
        <f t="shared" si="23"/>
        <v>Priority Optimization</v>
      </c>
    </row>
    <row r="74" spans="1:25">
      <c r="A74" t="str">
        <v>P073</v>
      </c>
      <c r="B74" t="str">
        <f>_xlfn.XLOOKUP(A74,PAGESPEED_RAW[Page_ID],PAGESPEED_RAW[URL])</f>
        <v>https://pmb.widyatama.ac.id/program-studi/akuntansi-s1/</v>
      </c>
      <c r="C74" t="str">
        <f>_xlfn.XLOOKUP(A74,PAGESPEED_RAW[Page_ID],PAGESPEED_RAW[Final_Page_Type])</f>
        <v>Program</v>
      </c>
      <c r="D74" t="str">
        <f>_xlfn.XLOOKUP(A74,PAGESPEED_RAW[Page_ID],PAGESPEED_RAW[Speed_Test_Segment])</f>
        <v>Core PMB Website</v>
      </c>
      <c r="E74" t="str">
        <f>_xlfn.XLOOKUP(A74,PAGESPEED_RAW[Page_ID],PAGESPEED_RAW[Test_Priority])</f>
        <v>P1 - Critical</v>
      </c>
      <c r="F74">
        <f>AVERAGEIFS(PAGESPEED_RAW[Performance],PAGESPEED_RAW[Page_ID],A74,PAGESPEED_RAW[Device],"mobile")</f>
        <v>57</v>
      </c>
      <c r="G74">
        <f>AVERAGEIFS(PAGESPEED_RAW[Performance],PAGESPEED_RAW[Page_ID],A74,PAGESPEED_RAW[Device],"desktop")</f>
        <v>73</v>
      </c>
      <c r="H74">
        <f t="shared" si="12"/>
        <v>16</v>
      </c>
      <c r="I74" s="14">
        <f>AVERAGEIFS(PAGESPEED_RAW[LCP],PAGESPEED_RAW[Page_ID],A74,PAGESPEED_RAW[Device],"mobile")</f>
        <v>22201.09634132807</v>
      </c>
      <c r="J74" s="14">
        <f>AVERAGEIFS(PAGESPEED_RAW[LCP],PAGESPEED_RAW[Page_ID],A74,PAGESPEED_RAW[Device],"desktop")</f>
        <v>3641.1151801580272</v>
      </c>
      <c r="K74" s="14">
        <f t="shared" si="13"/>
        <v>18559.981161170042</v>
      </c>
      <c r="L74" s="14">
        <f>AVERAGEIFS(PAGESPEED_RAW[FCP],PAGESPEED_RAW[Page_ID],A74,PAGESPEED_RAW[Device],"mobile")</f>
        <v>4951.0204560354114</v>
      </c>
      <c r="M74" s="14">
        <f>AVERAGEIFS(PAGESPEED_RAW[FCP],PAGESPEED_RAW[Page_ID],A74,PAGESPEED_RAW[Device],"desktop")</f>
        <v>881.02588318157905</v>
      </c>
      <c r="N74" s="14">
        <f>AVERAGEIFS(PAGESPEED_RAW[TBT],PAGESPEED_RAW[Page_ID],A74,PAGESPEED_RAW[Device],"mobile")</f>
        <v>0</v>
      </c>
      <c r="O74" s="15">
        <f>AVERAGEIFS(PAGESPEED_RAW[CLS],PAGESPEED_RAW[Page_ID],A74,PAGESPEED_RAW[Device],"mobile")</f>
        <v>0</v>
      </c>
      <c r="P74" t="str">
        <f t="shared" si="14"/>
        <v>Critical</v>
      </c>
      <c r="Q74" t="str">
        <f t="shared" si="15"/>
        <v>Slow LCP</v>
      </c>
      <c r="R74" t="str">
        <f t="shared" si="16"/>
        <v>Optimize images, reduce render blocking resources, improve server response time</v>
      </c>
      <c r="S74">
        <f t="shared" si="17"/>
        <v>2</v>
      </c>
      <c r="T74">
        <f t="shared" si="18"/>
        <v>3</v>
      </c>
      <c r="U74">
        <f t="shared" si="19"/>
        <v>1</v>
      </c>
      <c r="V74">
        <f t="shared" si="20"/>
        <v>2</v>
      </c>
      <c r="W74">
        <f t="shared" si="21"/>
        <v>8</v>
      </c>
      <c r="X74">
        <f t="shared" si="22"/>
        <v>5</v>
      </c>
      <c r="Y74" t="str">
        <f t="shared" si="23"/>
        <v>Priority Optimization</v>
      </c>
    </row>
    <row r="75" spans="1:25">
      <c r="A75" t="str">
        <v>P074</v>
      </c>
      <c r="B75" t="str">
        <f>_xlfn.XLOOKUP(A75,PAGESPEED_RAW[Page_ID],PAGESPEED_RAW[URL])</f>
        <v>https://pmb.widyatama.ac.id/program-studi/creative-business-management-d3/</v>
      </c>
      <c r="C75" t="str">
        <f>_xlfn.XLOOKUP(A75,PAGESPEED_RAW[Page_ID],PAGESPEED_RAW[Final_Page_Type])</f>
        <v>Program</v>
      </c>
      <c r="D75" t="str">
        <f>_xlfn.XLOOKUP(A75,PAGESPEED_RAW[Page_ID],PAGESPEED_RAW[Speed_Test_Segment])</f>
        <v>Core PMB Website</v>
      </c>
      <c r="E75" t="str">
        <f>_xlfn.XLOOKUP(A75,PAGESPEED_RAW[Page_ID],PAGESPEED_RAW[Test_Priority])</f>
        <v>P1 - Critical</v>
      </c>
      <c r="F75">
        <f>AVERAGEIFS(PAGESPEED_RAW[Performance],PAGESPEED_RAW[Page_ID],A75,PAGESPEED_RAW[Device],"mobile")</f>
        <v>57</v>
      </c>
      <c r="G75">
        <f>AVERAGEIFS(PAGESPEED_RAW[Performance],PAGESPEED_RAW[Page_ID],A75,PAGESPEED_RAW[Device],"desktop")</f>
        <v>73</v>
      </c>
      <c r="H75">
        <f t="shared" si="12"/>
        <v>16</v>
      </c>
      <c r="I75" s="14">
        <f>AVERAGEIFS(PAGESPEED_RAW[LCP],PAGESPEED_RAW[Page_ID],A75,PAGESPEED_RAW[Device],"mobile")</f>
        <v>22651.082829396215</v>
      </c>
      <c r="J75" s="14">
        <f>AVERAGEIFS(PAGESPEED_RAW[LCP],PAGESPEED_RAW[Page_ID],A75,PAGESPEED_RAW[Device],"desktop")</f>
        <v>3641.0712422034585</v>
      </c>
      <c r="K75" s="14">
        <f t="shared" si="13"/>
        <v>19010.011587192756</v>
      </c>
      <c r="L75" s="14">
        <f>AVERAGEIFS(PAGESPEED_RAW[FCP],PAGESPEED_RAW[Page_ID],A75,PAGESPEED_RAW[Device],"mobile")</f>
        <v>4951.0172329616253</v>
      </c>
      <c r="M75" s="14">
        <f>AVERAGEIFS(PAGESPEED_RAW[FCP],PAGESPEED_RAW[Page_ID],A75,PAGESPEED_RAW[Device],"desktop")</f>
        <v>881.01600948392286</v>
      </c>
      <c r="N75" s="14">
        <f>AVERAGEIFS(PAGESPEED_RAW[TBT],PAGESPEED_RAW[Page_ID],A75,PAGESPEED_RAW[Device],"mobile")</f>
        <v>15</v>
      </c>
      <c r="O75" s="15">
        <f>AVERAGEIFS(PAGESPEED_RAW[CLS],PAGESPEED_RAW[Page_ID],A75,PAGESPEED_RAW[Device],"mobile")</f>
        <v>0</v>
      </c>
      <c r="P75" t="str">
        <f t="shared" si="14"/>
        <v>Critical</v>
      </c>
      <c r="Q75" t="str">
        <f t="shared" si="15"/>
        <v>Slow LCP</v>
      </c>
      <c r="R75" t="str">
        <f t="shared" si="16"/>
        <v>Optimize images, reduce render blocking resources, improve server response time</v>
      </c>
      <c r="S75">
        <f t="shared" si="17"/>
        <v>2</v>
      </c>
      <c r="T75">
        <f t="shared" si="18"/>
        <v>3</v>
      </c>
      <c r="U75">
        <f t="shared" si="19"/>
        <v>1</v>
      </c>
      <c r="V75">
        <f t="shared" si="20"/>
        <v>2</v>
      </c>
      <c r="W75">
        <f t="shared" si="21"/>
        <v>8</v>
      </c>
      <c r="X75">
        <f t="shared" si="22"/>
        <v>5</v>
      </c>
      <c r="Y75" t="str">
        <f t="shared" si="23"/>
        <v>Priority Optimization</v>
      </c>
    </row>
    <row r="76" spans="1:25">
      <c r="A76" t="str">
        <v>P075</v>
      </c>
      <c r="B76" t="str">
        <f>_xlfn.XLOOKUP(A76,PAGESPEED_RAW[Page_ID],PAGESPEED_RAW[URL])</f>
        <v>https://pmb.widyatama.ac.id/program-studi/film-and-television-production-d4/</v>
      </c>
      <c r="C76" t="str">
        <f>_xlfn.XLOOKUP(A76,PAGESPEED_RAW[Page_ID],PAGESPEED_RAW[Final_Page_Type])</f>
        <v>Program</v>
      </c>
      <c r="D76" t="str">
        <f>_xlfn.XLOOKUP(A76,PAGESPEED_RAW[Page_ID],PAGESPEED_RAW[Speed_Test_Segment])</f>
        <v>Core PMB Website</v>
      </c>
      <c r="E76" t="str">
        <f>_xlfn.XLOOKUP(A76,PAGESPEED_RAW[Page_ID],PAGESPEED_RAW[Test_Priority])</f>
        <v>P1 - Critical</v>
      </c>
      <c r="F76">
        <f>AVERAGEIFS(PAGESPEED_RAW[Performance],PAGESPEED_RAW[Page_ID],A76,PAGESPEED_RAW[Device],"mobile")</f>
        <v>57</v>
      </c>
      <c r="G76">
        <f>AVERAGEIFS(PAGESPEED_RAW[Performance],PAGESPEED_RAW[Page_ID],A76,PAGESPEED_RAW[Device],"desktop")</f>
        <v>74</v>
      </c>
      <c r="H76">
        <f t="shared" si="12"/>
        <v>17</v>
      </c>
      <c r="I76" s="14">
        <f>AVERAGEIFS(PAGESPEED_RAW[LCP],PAGESPEED_RAW[Page_ID],A76,PAGESPEED_RAW[Device],"mobile")</f>
        <v>20476.132031888032</v>
      </c>
      <c r="J76" s="14">
        <f>AVERAGEIFS(PAGESPEED_RAW[LCP],PAGESPEED_RAW[Page_ID],A76,PAGESPEED_RAW[Device],"desktop")</f>
        <v>3241.0833092699263</v>
      </c>
      <c r="K76" s="14">
        <f t="shared" si="13"/>
        <v>17235.048722618107</v>
      </c>
      <c r="L76" s="14">
        <f>AVERAGEIFS(PAGESPEED_RAW[FCP],PAGESPEED_RAW[Page_ID],A76,PAGESPEED_RAW[Device],"mobile")</f>
        <v>4951.0304311414793</v>
      </c>
      <c r="M76" s="14">
        <f>AVERAGEIFS(PAGESPEED_RAW[FCP],PAGESPEED_RAW[Page_ID],A76,PAGESPEED_RAW[Device],"desktop")</f>
        <v>921.02214550213239</v>
      </c>
      <c r="N76" s="14">
        <f>AVERAGEIFS(PAGESPEED_RAW[TBT],PAGESPEED_RAW[Page_ID],A76,PAGESPEED_RAW[Device],"mobile")</f>
        <v>24</v>
      </c>
      <c r="O76" s="15">
        <f>AVERAGEIFS(PAGESPEED_RAW[CLS],PAGESPEED_RAW[Page_ID],A76,PAGESPEED_RAW[Device],"mobile")</f>
        <v>0</v>
      </c>
      <c r="P76" t="str">
        <f t="shared" si="14"/>
        <v>Critical</v>
      </c>
      <c r="Q76" t="str">
        <f t="shared" si="15"/>
        <v>Slow LCP</v>
      </c>
      <c r="R76" t="str">
        <f t="shared" si="16"/>
        <v>Optimize images, reduce render blocking resources, improve server response time</v>
      </c>
      <c r="S76">
        <f t="shared" si="17"/>
        <v>2</v>
      </c>
      <c r="T76">
        <f t="shared" si="18"/>
        <v>3</v>
      </c>
      <c r="U76">
        <f t="shared" si="19"/>
        <v>1</v>
      </c>
      <c r="V76">
        <f t="shared" si="20"/>
        <v>2</v>
      </c>
      <c r="W76">
        <f t="shared" si="21"/>
        <v>8</v>
      </c>
      <c r="X76">
        <f t="shared" si="22"/>
        <v>5</v>
      </c>
      <c r="Y76" t="str">
        <f t="shared" si="23"/>
        <v>Priority Optimization</v>
      </c>
    </row>
    <row r="77" spans="1:25">
      <c r="A77" t="str">
        <v>P076</v>
      </c>
      <c r="B77" t="str">
        <f>_xlfn.XLOOKUP(A77,PAGESPEED_RAW[Page_ID],PAGESPEED_RAW[URL])</f>
        <v>https://pmb.widyatama.ac.id/program-studi/manajemen-pemasaran-s1/</v>
      </c>
      <c r="C77" t="str">
        <f>_xlfn.XLOOKUP(A77,PAGESPEED_RAW[Page_ID],PAGESPEED_RAW[Final_Page_Type])</f>
        <v>Program</v>
      </c>
      <c r="D77" t="str">
        <f>_xlfn.XLOOKUP(A77,PAGESPEED_RAW[Page_ID],PAGESPEED_RAW[Speed_Test_Segment])</f>
        <v>Core PMB Website</v>
      </c>
      <c r="E77" t="str">
        <f>_xlfn.XLOOKUP(A77,PAGESPEED_RAW[Page_ID],PAGESPEED_RAW[Test_Priority])</f>
        <v>P1 - Critical</v>
      </c>
      <c r="F77">
        <f>AVERAGEIFS(PAGESPEED_RAW[Performance],PAGESPEED_RAW[Page_ID],A77,PAGESPEED_RAW[Device],"mobile")</f>
        <v>58</v>
      </c>
      <c r="G77">
        <f>AVERAGEIFS(PAGESPEED_RAW[Performance],PAGESPEED_RAW[Page_ID],A77,PAGESPEED_RAW[Device],"desktop")</f>
        <v>71</v>
      </c>
      <c r="H77">
        <f t="shared" si="12"/>
        <v>13</v>
      </c>
      <c r="I77" s="14">
        <f>AVERAGEIFS(PAGESPEED_RAW[LCP],PAGESPEED_RAW[Page_ID],A77,PAGESPEED_RAW[Device],"mobile")</f>
        <v>21226.144887439397</v>
      </c>
      <c r="J77" s="14">
        <f>AVERAGEIFS(PAGESPEED_RAW[LCP],PAGESPEED_RAW[Page_ID],A77,PAGESPEED_RAW[Device],"desktop")</f>
        <v>4281.0599104921803</v>
      </c>
      <c r="K77" s="14">
        <f t="shared" si="13"/>
        <v>16945.084976947219</v>
      </c>
      <c r="L77" s="14">
        <f>AVERAGEIFS(PAGESPEED_RAW[FCP],PAGESPEED_RAW[Page_ID],A77,PAGESPEED_RAW[Device],"mobile")</f>
        <v>4201.0270041105687</v>
      </c>
      <c r="M77" s="14">
        <f>AVERAGEIFS(PAGESPEED_RAW[FCP],PAGESPEED_RAW[Page_ID],A77,PAGESPEED_RAW[Device],"desktop")</f>
        <v>881.01141152232026</v>
      </c>
      <c r="N77" s="14">
        <f>AVERAGEIFS(PAGESPEED_RAW[TBT],PAGESPEED_RAW[Page_ID],A77,PAGESPEED_RAW[Device],"mobile")</f>
        <v>24</v>
      </c>
      <c r="O77" s="15">
        <f>AVERAGEIFS(PAGESPEED_RAW[CLS],PAGESPEED_RAW[Page_ID],A77,PAGESPEED_RAW[Device],"mobile")</f>
        <v>1.45348816375206E-3</v>
      </c>
      <c r="P77" t="str">
        <f t="shared" si="14"/>
        <v>Critical</v>
      </c>
      <c r="Q77" t="str">
        <f t="shared" si="15"/>
        <v>Slow LCP</v>
      </c>
      <c r="R77" t="str">
        <f t="shared" si="16"/>
        <v>Optimize images, reduce render blocking resources, improve server response time</v>
      </c>
      <c r="S77">
        <f t="shared" si="17"/>
        <v>2</v>
      </c>
      <c r="T77">
        <f t="shared" si="18"/>
        <v>3</v>
      </c>
      <c r="U77">
        <f t="shared" si="19"/>
        <v>1</v>
      </c>
      <c r="V77">
        <f t="shared" si="20"/>
        <v>1</v>
      </c>
      <c r="W77">
        <f t="shared" si="21"/>
        <v>7</v>
      </c>
      <c r="X77">
        <f t="shared" si="22"/>
        <v>44</v>
      </c>
      <c r="Y77" t="str">
        <f t="shared" si="23"/>
        <v>Priority Optimization</v>
      </c>
    </row>
    <row r="78" spans="1:25">
      <c r="A78" t="str">
        <v>P077</v>
      </c>
      <c r="B78" t="str">
        <f>_xlfn.XLOOKUP(A78,PAGESPEED_RAW[Page_ID],PAGESPEED_RAW[URL])</f>
        <v>https://pmb.widyatama.ac.id/program-studi/perpustakaan-sains-informasi-s1/</v>
      </c>
      <c r="C78" t="str">
        <f>_xlfn.XLOOKUP(A78,PAGESPEED_RAW[Page_ID],PAGESPEED_RAW[Final_Page_Type])</f>
        <v>Program</v>
      </c>
      <c r="D78" t="str">
        <f>_xlfn.XLOOKUP(A78,PAGESPEED_RAW[Page_ID],PAGESPEED_RAW[Speed_Test_Segment])</f>
        <v>Core PMB Website</v>
      </c>
      <c r="E78" t="str">
        <f>_xlfn.XLOOKUP(A78,PAGESPEED_RAW[Page_ID],PAGESPEED_RAW[Test_Priority])</f>
        <v>P1 - Critical</v>
      </c>
      <c r="F78">
        <f>AVERAGEIFS(PAGESPEED_RAW[Performance],PAGESPEED_RAW[Page_ID],A78,PAGESPEED_RAW[Device],"mobile")</f>
        <v>57</v>
      </c>
      <c r="G78">
        <f>AVERAGEIFS(PAGESPEED_RAW[Performance],PAGESPEED_RAW[Page_ID],A78,PAGESPEED_RAW[Device],"desktop")</f>
        <v>72</v>
      </c>
      <c r="H78">
        <f t="shared" si="12"/>
        <v>15</v>
      </c>
      <c r="I78" s="14">
        <f>AVERAGEIFS(PAGESPEED_RAW[LCP],PAGESPEED_RAW[Page_ID],A78,PAGESPEED_RAW[Device],"mobile")</f>
        <v>21914.155031359409</v>
      </c>
      <c r="J78" s="14">
        <f>AVERAGEIFS(PAGESPEED_RAW[LCP],PAGESPEED_RAW[Page_ID],A78,PAGESPEED_RAW[Device],"desktop")</f>
        <v>3721.0771707137137</v>
      </c>
      <c r="K78" s="14">
        <f t="shared" si="13"/>
        <v>18193.077860645695</v>
      </c>
      <c r="L78" s="14">
        <f>AVERAGEIFS(PAGESPEED_RAW[FCP],PAGESPEED_RAW[Page_ID],A78,PAGESPEED_RAW[Device],"mobile")</f>
        <v>4951.0333748065395</v>
      </c>
      <c r="M78" s="14">
        <f>AVERAGEIFS(PAGESPEED_RAW[FCP],PAGESPEED_RAW[Page_ID],A78,PAGESPEED_RAW[Device],"desktop")</f>
        <v>841.01611256659953</v>
      </c>
      <c r="N78" s="14">
        <f>AVERAGEIFS(PAGESPEED_RAW[TBT],PAGESPEED_RAW[Page_ID],A78,PAGESPEED_RAW[Device],"mobile")</f>
        <v>3</v>
      </c>
      <c r="O78" s="15">
        <f>AVERAGEIFS(PAGESPEED_RAW[CLS],PAGESPEED_RAW[Page_ID],A78,PAGESPEED_RAW[Device],"mobile")</f>
        <v>0</v>
      </c>
      <c r="P78" t="str">
        <f t="shared" si="14"/>
        <v>Critical</v>
      </c>
      <c r="Q78" t="str">
        <f t="shared" si="15"/>
        <v>Slow LCP</v>
      </c>
      <c r="R78" t="str">
        <f t="shared" si="16"/>
        <v>Optimize images, reduce render blocking resources, improve server response time</v>
      </c>
      <c r="S78">
        <f t="shared" si="17"/>
        <v>2</v>
      </c>
      <c r="T78">
        <f t="shared" si="18"/>
        <v>3</v>
      </c>
      <c r="U78">
        <f t="shared" si="19"/>
        <v>1</v>
      </c>
      <c r="V78">
        <f t="shared" si="20"/>
        <v>1</v>
      </c>
      <c r="W78">
        <f t="shared" si="21"/>
        <v>7</v>
      </c>
      <c r="X78">
        <f t="shared" si="22"/>
        <v>44</v>
      </c>
      <c r="Y78" t="str">
        <f t="shared" si="23"/>
        <v>Priority Optimization</v>
      </c>
    </row>
    <row r="79" spans="1:25">
      <c r="A79" t="str">
        <v>P078</v>
      </c>
      <c r="B79" t="str">
        <f>_xlfn.XLOOKUP(A79,PAGESPEED_RAW[Page_ID],PAGESPEED_RAW[URL])</f>
        <v>https://pmb.widyatama.ac.id/program-studi/bahasa-inggris-s1/</v>
      </c>
      <c r="C79" t="str">
        <f>_xlfn.XLOOKUP(A79,PAGESPEED_RAW[Page_ID],PAGESPEED_RAW[Final_Page_Type])</f>
        <v>Program</v>
      </c>
      <c r="D79" t="str">
        <f>_xlfn.XLOOKUP(A79,PAGESPEED_RAW[Page_ID],PAGESPEED_RAW[Speed_Test_Segment])</f>
        <v>Core PMB Website</v>
      </c>
      <c r="E79" t="str">
        <f>_xlfn.XLOOKUP(A79,PAGESPEED_RAW[Page_ID],PAGESPEED_RAW[Test_Priority])</f>
        <v>P1 - Critical</v>
      </c>
      <c r="F79">
        <f>AVERAGEIFS(PAGESPEED_RAW[Performance],PAGESPEED_RAW[Page_ID],A79,PAGESPEED_RAW[Device],"mobile")</f>
        <v>59</v>
      </c>
      <c r="G79">
        <f>AVERAGEIFS(PAGESPEED_RAW[Performance],PAGESPEED_RAW[Page_ID],A79,PAGESPEED_RAW[Device],"desktop")</f>
        <v>74</v>
      </c>
      <c r="H79">
        <f t="shared" si="12"/>
        <v>15</v>
      </c>
      <c r="I79" s="14">
        <f>AVERAGEIFS(PAGESPEED_RAW[LCP],PAGESPEED_RAW[Page_ID],A79,PAGESPEED_RAW[Device],"mobile")</f>
        <v>21601.086286785248</v>
      </c>
      <c r="J79" s="14">
        <f>AVERAGEIFS(PAGESPEED_RAW[LCP],PAGESPEED_RAW[Page_ID],A79,PAGESPEED_RAW[Device],"desktop")</f>
        <v>3561.0555180505953</v>
      </c>
      <c r="K79" s="14">
        <f t="shared" si="13"/>
        <v>18040.030768734654</v>
      </c>
      <c r="L79" s="14">
        <f>AVERAGEIFS(PAGESPEED_RAW[FCP],PAGESPEED_RAW[Page_ID],A79,PAGESPEED_RAW[Device],"mobile")</f>
        <v>3901.0145836820147</v>
      </c>
      <c r="M79" s="14">
        <f>AVERAGEIFS(PAGESPEED_RAW[FCP],PAGESPEED_RAW[Page_ID],A79,PAGESPEED_RAW[Device],"desktop")</f>
        <v>881.01276277025136</v>
      </c>
      <c r="N79" s="14">
        <f>AVERAGEIFS(PAGESPEED_RAW[TBT],PAGESPEED_RAW[Page_ID],A79,PAGESPEED_RAW[Device],"mobile")</f>
        <v>46</v>
      </c>
      <c r="O79" s="15">
        <f>AVERAGEIFS(PAGESPEED_RAW[CLS],PAGESPEED_RAW[Page_ID],A79,PAGESPEED_RAW[Device],"mobile")</f>
        <v>6.302559279390791E-3</v>
      </c>
      <c r="P79" t="str">
        <f t="shared" si="14"/>
        <v>Critical</v>
      </c>
      <c r="Q79" t="str">
        <f t="shared" si="15"/>
        <v>Slow LCP</v>
      </c>
      <c r="R79" t="str">
        <f t="shared" si="16"/>
        <v>Optimize images, reduce render blocking resources, improve server response time</v>
      </c>
      <c r="S79">
        <f t="shared" si="17"/>
        <v>2</v>
      </c>
      <c r="T79">
        <f t="shared" si="18"/>
        <v>3</v>
      </c>
      <c r="U79">
        <f t="shared" si="19"/>
        <v>1</v>
      </c>
      <c r="V79">
        <f t="shared" si="20"/>
        <v>1</v>
      </c>
      <c r="W79">
        <f t="shared" si="21"/>
        <v>7</v>
      </c>
      <c r="X79">
        <f t="shared" si="22"/>
        <v>44</v>
      </c>
      <c r="Y79" t="str">
        <f t="shared" si="23"/>
        <v>Priority Optimization</v>
      </c>
    </row>
    <row r="80" spans="1:25">
      <c r="A80" t="str">
        <v>P079</v>
      </c>
      <c r="B80" t="str">
        <f>_xlfn.XLOOKUP(A80,PAGESPEED_RAW[Page_ID],PAGESPEED_RAW[URL])</f>
        <v>https://pmb.widyatama.ac.id/program-studi/digital-accounting-d3/</v>
      </c>
      <c r="C80" t="str">
        <f>_xlfn.XLOOKUP(A80,PAGESPEED_RAW[Page_ID],PAGESPEED_RAW[Final_Page_Type])</f>
        <v>Program</v>
      </c>
      <c r="D80" t="str">
        <f>_xlfn.XLOOKUP(A80,PAGESPEED_RAW[Page_ID],PAGESPEED_RAW[Speed_Test_Segment])</f>
        <v>Core PMB Website</v>
      </c>
      <c r="E80" t="str">
        <f>_xlfn.XLOOKUP(A80,PAGESPEED_RAW[Page_ID],PAGESPEED_RAW[Test_Priority])</f>
        <v>P1 - Critical</v>
      </c>
      <c r="F80">
        <f>AVERAGEIFS(PAGESPEED_RAW[Performance],PAGESPEED_RAW[Page_ID],A80,PAGESPEED_RAW[Device],"mobile")</f>
        <v>57</v>
      </c>
      <c r="G80">
        <f>AVERAGEIFS(PAGESPEED_RAW[Performance],PAGESPEED_RAW[Page_ID],A80,PAGESPEED_RAW[Device],"desktop")</f>
        <v>72</v>
      </c>
      <c r="H80">
        <f t="shared" si="12"/>
        <v>15</v>
      </c>
      <c r="I80" s="14">
        <f>AVERAGEIFS(PAGESPEED_RAW[LCP],PAGESPEED_RAW[Page_ID],A80,PAGESPEED_RAW[Device],"mobile")</f>
        <v>24151.092513782205</v>
      </c>
      <c r="J80" s="14">
        <f>AVERAGEIFS(PAGESPEED_RAW[LCP],PAGESPEED_RAW[Page_ID],A80,PAGESPEED_RAW[Device],"desktop")</f>
        <v>3801.0980788328707</v>
      </c>
      <c r="K80" s="14">
        <f t="shared" si="13"/>
        <v>20349.994434949334</v>
      </c>
      <c r="L80" s="14">
        <f>AVERAGEIFS(PAGESPEED_RAW[FCP],PAGESPEED_RAW[Page_ID],A80,PAGESPEED_RAW[Device],"mobile")</f>
        <v>4951.0180372782861</v>
      </c>
      <c r="M80" s="14">
        <f>AVERAGEIFS(PAGESPEED_RAW[FCP],PAGESPEED_RAW[Page_ID],A80,PAGESPEED_RAW[Device],"desktop")</f>
        <v>881.02109222212232</v>
      </c>
      <c r="N80" s="14">
        <f>AVERAGEIFS(PAGESPEED_RAW[TBT],PAGESPEED_RAW[Page_ID],A80,PAGESPEED_RAW[Device],"mobile")</f>
        <v>0</v>
      </c>
      <c r="O80" s="15">
        <f>AVERAGEIFS(PAGESPEED_RAW[CLS],PAGESPEED_RAW[Page_ID],A80,PAGESPEED_RAW[Device],"mobile")</f>
        <v>0</v>
      </c>
      <c r="P80" t="str">
        <f t="shared" si="14"/>
        <v>Critical</v>
      </c>
      <c r="Q80" t="str">
        <f t="shared" si="15"/>
        <v>Slow LCP</v>
      </c>
      <c r="R80" t="str">
        <f t="shared" si="16"/>
        <v>Optimize images, reduce render blocking resources, improve server response time</v>
      </c>
      <c r="S80">
        <f t="shared" si="17"/>
        <v>2</v>
      </c>
      <c r="T80">
        <f t="shared" si="18"/>
        <v>3</v>
      </c>
      <c r="U80">
        <f t="shared" si="19"/>
        <v>1</v>
      </c>
      <c r="V80">
        <f t="shared" si="20"/>
        <v>1</v>
      </c>
      <c r="W80">
        <f t="shared" si="21"/>
        <v>7</v>
      </c>
      <c r="X80">
        <f t="shared" si="22"/>
        <v>44</v>
      </c>
      <c r="Y80" t="str">
        <f t="shared" si="23"/>
        <v>Priority Optimization</v>
      </c>
    </row>
    <row r="81" spans="1:25">
      <c r="A81" t="str">
        <v>P080</v>
      </c>
      <c r="B81" t="str">
        <f>_xlfn.XLOOKUP(A81,PAGESPEED_RAW[Page_ID],PAGESPEED_RAW[URL])</f>
        <v>https://pmb.widyatama.ac.id/program-studi/teknik-elektro-s1/</v>
      </c>
      <c r="C81" t="str">
        <f>_xlfn.XLOOKUP(A81,PAGESPEED_RAW[Page_ID],PAGESPEED_RAW[Final_Page_Type])</f>
        <v>Program</v>
      </c>
      <c r="D81" t="str">
        <f>_xlfn.XLOOKUP(A81,PAGESPEED_RAW[Page_ID],PAGESPEED_RAW[Speed_Test_Segment])</f>
        <v>Core PMB Website</v>
      </c>
      <c r="E81" t="str">
        <f>_xlfn.XLOOKUP(A81,PAGESPEED_RAW[Page_ID],PAGESPEED_RAW[Test_Priority])</f>
        <v>P1 - Critical</v>
      </c>
      <c r="F81">
        <f>AVERAGEIFS(PAGESPEED_RAW[Performance],PAGESPEED_RAW[Page_ID],A81,PAGESPEED_RAW[Device],"mobile")</f>
        <v>57</v>
      </c>
      <c r="G81">
        <f>AVERAGEIFS(PAGESPEED_RAW[Performance],PAGESPEED_RAW[Page_ID],A81,PAGESPEED_RAW[Device],"desktop")</f>
        <v>72</v>
      </c>
      <c r="H81">
        <f t="shared" si="12"/>
        <v>15</v>
      </c>
      <c r="I81" s="14">
        <f>AVERAGEIFS(PAGESPEED_RAW[LCP],PAGESPEED_RAW[Page_ID],A81,PAGESPEED_RAW[Device],"mobile")</f>
        <v>20479.131487814891</v>
      </c>
      <c r="J81" s="14">
        <f>AVERAGEIFS(PAGESPEED_RAW[LCP],PAGESPEED_RAW[Page_ID],A81,PAGESPEED_RAW[Device],"desktop")</f>
        <v>3701.0853177562731</v>
      </c>
      <c r="K81" s="14">
        <f t="shared" si="13"/>
        <v>16778.046170058617</v>
      </c>
      <c r="L81" s="14">
        <f>AVERAGEIFS(PAGESPEED_RAW[FCP],PAGESPEED_RAW[Page_ID],A81,PAGESPEED_RAW[Device],"mobile")</f>
        <v>4951.0303057417241</v>
      </c>
      <c r="M81" s="14">
        <f>AVERAGEIFS(PAGESPEED_RAW[FCP],PAGESPEED_RAW[Page_ID],A81,PAGESPEED_RAW[Device],"desktop")</f>
        <v>921.01979749040572</v>
      </c>
      <c r="N81" s="14">
        <f>AVERAGEIFS(PAGESPEED_RAW[TBT],PAGESPEED_RAW[Page_ID],A81,PAGESPEED_RAW[Device],"mobile")</f>
        <v>31</v>
      </c>
      <c r="O81" s="15">
        <f>AVERAGEIFS(PAGESPEED_RAW[CLS],PAGESPEED_RAW[Page_ID],A81,PAGESPEED_RAW[Device],"mobile")</f>
        <v>0</v>
      </c>
      <c r="P81" t="str">
        <f t="shared" si="14"/>
        <v>Critical</v>
      </c>
      <c r="Q81" t="str">
        <f t="shared" si="15"/>
        <v>Slow LCP</v>
      </c>
      <c r="R81" t="str">
        <f t="shared" si="16"/>
        <v>Optimize images, reduce render blocking resources, improve server response time</v>
      </c>
      <c r="S81">
        <f t="shared" si="17"/>
        <v>2</v>
      </c>
      <c r="T81">
        <f t="shared" si="18"/>
        <v>3</v>
      </c>
      <c r="U81">
        <f t="shared" si="19"/>
        <v>1</v>
      </c>
      <c r="V81">
        <f t="shared" si="20"/>
        <v>1</v>
      </c>
      <c r="W81">
        <f t="shared" si="21"/>
        <v>7</v>
      </c>
      <c r="X81">
        <f t="shared" si="22"/>
        <v>44</v>
      </c>
      <c r="Y81" t="str">
        <f t="shared" si="23"/>
        <v>Priority Optimization</v>
      </c>
    </row>
    <row r="82" spans="1:25">
      <c r="A82" t="str">
        <v>P081</v>
      </c>
      <c r="B82" t="str">
        <f>_xlfn.XLOOKUP(A82,PAGESPEED_RAW[Page_ID],PAGESPEED_RAW[URL])</f>
        <v>https://online.pmb.widyatama.ac.id/hasil</v>
      </c>
      <c r="C82" t="str">
        <f>_xlfn.XLOOKUP(A82,PAGESPEED_RAW[Page_ID],PAGESPEED_RAW[Final_Page_Type])</f>
        <v>Registration System</v>
      </c>
      <c r="D82" t="str">
        <f>_xlfn.XLOOKUP(A82,PAGESPEED_RAW[Page_ID],PAGESPEED_RAW[Speed_Test_Segment])</f>
        <v>Registration System</v>
      </c>
      <c r="E82" t="str">
        <f>_xlfn.XLOOKUP(A82,PAGESPEED_RAW[Page_ID],PAGESPEED_RAW[Test_Priority])</f>
        <v>P1 - Critical</v>
      </c>
      <c r="F82">
        <f>AVERAGEIFS(PAGESPEED_RAW[Performance],PAGESPEED_RAW[Page_ID],A82,PAGESPEED_RAW[Device],"mobile")</f>
        <v>58</v>
      </c>
      <c r="G82">
        <f>AVERAGEIFS(PAGESPEED_RAW[Performance],PAGESPEED_RAW[Page_ID],A82,PAGESPEED_RAW[Device],"desktop")</f>
        <v>83</v>
      </c>
      <c r="H82">
        <f t="shared" si="12"/>
        <v>25</v>
      </c>
      <c r="I82" s="14">
        <f>AVERAGEIFS(PAGESPEED_RAW[LCP],PAGESPEED_RAW[Page_ID],A82,PAGESPEED_RAW[Device],"mobile")</f>
        <v>9364.4496864251778</v>
      </c>
      <c r="J82" s="14">
        <f>AVERAGEIFS(PAGESPEED_RAW[LCP],PAGESPEED_RAW[Page_ID],A82,PAGESPEED_RAW[Device],"desktop")</f>
        <v>696.00613804186946</v>
      </c>
      <c r="K82" s="14">
        <f t="shared" si="13"/>
        <v>8668.4435483833076</v>
      </c>
      <c r="L82" s="14">
        <f>AVERAGEIFS(PAGESPEED_RAW[FCP],PAGESPEED_RAW[Page_ID],A82,PAGESPEED_RAW[Device],"mobile")</f>
        <v>4543.5494480518464</v>
      </c>
      <c r="M82" s="14">
        <f>AVERAGEIFS(PAGESPEED_RAW[FCP],PAGESPEED_RAW[Page_ID],A82,PAGESPEED_RAW[Device],"desktop")</f>
        <v>452.70355806253883</v>
      </c>
      <c r="N82" s="14">
        <f>AVERAGEIFS(PAGESPEED_RAW[TBT],PAGESPEED_RAW[Page_ID],A82,PAGESPEED_RAW[Device],"mobile")</f>
        <v>256</v>
      </c>
      <c r="O82" s="15">
        <f>AVERAGEIFS(PAGESPEED_RAW[CLS],PAGESPEED_RAW[Page_ID],A82,PAGESPEED_RAW[Device],"mobile")</f>
        <v>0</v>
      </c>
      <c r="P82" t="str">
        <f t="shared" si="14"/>
        <v>Critical</v>
      </c>
      <c r="Q82" t="str">
        <f t="shared" si="15"/>
        <v>Slow LCP</v>
      </c>
      <c r="R82" t="str">
        <f t="shared" si="16"/>
        <v>Optimize images, reduce render blocking resources, improve server response time</v>
      </c>
      <c r="S82">
        <f t="shared" si="17"/>
        <v>2</v>
      </c>
      <c r="T82">
        <f t="shared" si="18"/>
        <v>2</v>
      </c>
      <c r="U82">
        <f t="shared" si="19"/>
        <v>2</v>
      </c>
      <c r="V82">
        <f t="shared" si="20"/>
        <v>2</v>
      </c>
      <c r="W82">
        <f t="shared" si="21"/>
        <v>8</v>
      </c>
      <c r="X82">
        <f t="shared" si="22"/>
        <v>5</v>
      </c>
      <c r="Y82" t="str">
        <f t="shared" si="23"/>
        <v>Priority Optimization</v>
      </c>
    </row>
    <row r="83" spans="1:25">
      <c r="A83" t="str">
        <v>P082</v>
      </c>
      <c r="B83" t="str">
        <f>_xlfn.XLOOKUP(A83,PAGESPEED_RAW[Page_ID],PAGESPEED_RAW[URL])</f>
        <v>https://pmb.widyatama.ac.id/program-studi/interactive-multimedia-d3/</v>
      </c>
      <c r="C83" t="str">
        <f>_xlfn.XLOOKUP(A83,PAGESPEED_RAW[Page_ID],PAGESPEED_RAW[Final_Page_Type])</f>
        <v>Program</v>
      </c>
      <c r="D83" t="str">
        <f>_xlfn.XLOOKUP(A83,PAGESPEED_RAW[Page_ID],PAGESPEED_RAW[Speed_Test_Segment])</f>
        <v>Core PMB Website</v>
      </c>
      <c r="E83" t="str">
        <f>_xlfn.XLOOKUP(A83,PAGESPEED_RAW[Page_ID],PAGESPEED_RAW[Test_Priority])</f>
        <v>P1 - Critical</v>
      </c>
      <c r="F83">
        <f>AVERAGEIFS(PAGESPEED_RAW[Performance],PAGESPEED_RAW[Page_ID],A83,PAGESPEED_RAW[Device],"mobile")</f>
        <v>52</v>
      </c>
      <c r="G83">
        <f>AVERAGEIFS(PAGESPEED_RAW[Performance],PAGESPEED_RAW[Page_ID],A83,PAGESPEED_RAW[Device],"desktop")</f>
        <v>71</v>
      </c>
      <c r="H83">
        <f t="shared" si="12"/>
        <v>19</v>
      </c>
      <c r="I83" s="14">
        <f>AVERAGEIFS(PAGESPEED_RAW[LCP],PAGESPEED_RAW[Page_ID],A83,PAGESPEED_RAW[Device],"mobile")</f>
        <v>25599.163204979421</v>
      </c>
      <c r="J83" s="14">
        <f>AVERAGEIFS(PAGESPEED_RAW[LCP],PAGESPEED_RAW[Page_ID],A83,PAGESPEED_RAW[Device],"desktop")</f>
        <v>4481.0649662778069</v>
      </c>
      <c r="K83" s="14">
        <f t="shared" si="13"/>
        <v>21118.098238701612</v>
      </c>
      <c r="L83" s="14">
        <f>AVERAGEIFS(PAGESPEED_RAW[FCP],PAGESPEED_RAW[Page_ID],A83,PAGESPEED_RAW[Device],"mobile")</f>
        <v>4951.0300258419193</v>
      </c>
      <c r="M83" s="14">
        <f>AVERAGEIFS(PAGESPEED_RAW[FCP],PAGESPEED_RAW[Page_ID],A83,PAGESPEED_RAW[Device],"desktop")</f>
        <v>881.01181205051046</v>
      </c>
      <c r="N83" s="14">
        <f>AVERAGEIFS(PAGESPEED_RAW[TBT],PAGESPEED_RAW[Page_ID],A83,PAGESPEED_RAW[Device],"mobile")</f>
        <v>242</v>
      </c>
      <c r="O83" s="15">
        <f>AVERAGEIFS(PAGESPEED_RAW[CLS],PAGESPEED_RAW[Page_ID],A83,PAGESPEED_RAW[Device],"mobile")</f>
        <v>0</v>
      </c>
      <c r="P83" t="str">
        <f t="shared" si="14"/>
        <v>Critical</v>
      </c>
      <c r="Q83" t="str">
        <f t="shared" si="15"/>
        <v>Slow LCP</v>
      </c>
      <c r="R83" t="str">
        <f t="shared" si="16"/>
        <v>Optimize images, reduce render blocking resources, improve server response time</v>
      </c>
      <c r="S83">
        <f t="shared" si="17"/>
        <v>2</v>
      </c>
      <c r="T83">
        <f t="shared" si="18"/>
        <v>3</v>
      </c>
      <c r="U83">
        <f t="shared" si="19"/>
        <v>2</v>
      </c>
      <c r="V83">
        <f t="shared" si="20"/>
        <v>2</v>
      </c>
      <c r="W83">
        <f t="shared" si="21"/>
        <v>9</v>
      </c>
      <c r="X83">
        <f t="shared" si="22"/>
        <v>3</v>
      </c>
      <c r="Y83" t="str">
        <f t="shared" si="23"/>
        <v>Priority Optimization</v>
      </c>
    </row>
    <row r="84" spans="1:25">
      <c r="A84" t="str">
        <v>P083</v>
      </c>
      <c r="B84" t="str">
        <f>_xlfn.XLOOKUP(A84,PAGESPEED_RAW[Page_ID],PAGESPEED_RAW[URL])</f>
        <v>https://online.pmb.widyatama.ac.id/auth/forgot_password</v>
      </c>
      <c r="C84" t="str">
        <f>_xlfn.XLOOKUP(A84,PAGESPEED_RAW[Page_ID],PAGESPEED_RAW[Final_Page_Type])</f>
        <v>Registration System</v>
      </c>
      <c r="D84" t="str">
        <f>_xlfn.XLOOKUP(A84,PAGESPEED_RAW[Page_ID],PAGESPEED_RAW[Speed_Test_Segment])</f>
        <v>Registration System</v>
      </c>
      <c r="E84" t="str">
        <f>_xlfn.XLOOKUP(A84,PAGESPEED_RAW[Page_ID],PAGESPEED_RAW[Test_Priority])</f>
        <v>P1 - Critical</v>
      </c>
      <c r="F84">
        <f>AVERAGEIFS(PAGESPEED_RAW[Performance],PAGESPEED_RAW[Page_ID],A84,PAGESPEED_RAW[Device],"mobile")</f>
        <v>84</v>
      </c>
      <c r="G84">
        <f>AVERAGEIFS(PAGESPEED_RAW[Performance],PAGESPEED_RAW[Page_ID],A84,PAGESPEED_RAW[Device],"desktop")</f>
        <v>87</v>
      </c>
      <c r="H84">
        <f t="shared" si="12"/>
        <v>3</v>
      </c>
      <c r="I84" s="14">
        <f>AVERAGEIFS(PAGESPEED_RAW[LCP],PAGESPEED_RAW[Page_ID],A84,PAGESPEED_RAW[Device],"mobile")</f>
        <v>2804.7955890661783</v>
      </c>
      <c r="J84" s="14">
        <f>AVERAGEIFS(PAGESPEED_RAW[LCP],PAGESPEED_RAW[Page_ID],A84,PAGESPEED_RAW[Device],"desktop")</f>
        <v>687.77385666789053</v>
      </c>
      <c r="K84" s="14">
        <f t="shared" si="13"/>
        <v>2117.0217323982879</v>
      </c>
      <c r="L84" s="14">
        <f>AVERAGEIFS(PAGESPEED_RAW[FCP],PAGESPEED_RAW[Page_ID],A84,PAGESPEED_RAW[Device],"mobile")</f>
        <v>1814.651963553928</v>
      </c>
      <c r="M84" s="14">
        <f>AVERAGEIFS(PAGESPEED_RAW[FCP],PAGESPEED_RAW[Page_ID],A84,PAGESPEED_RAW[Device],"desktop")</f>
        <v>421.47094717055018</v>
      </c>
      <c r="N84" s="14">
        <f>AVERAGEIFS(PAGESPEED_RAW[TBT],PAGESPEED_RAW[Page_ID],A84,PAGESPEED_RAW[Device],"mobile")</f>
        <v>445.5</v>
      </c>
      <c r="O84" s="15">
        <f>AVERAGEIFS(PAGESPEED_RAW[CLS],PAGESPEED_RAW[Page_ID],A84,PAGESPEED_RAW[Device],"mobile")</f>
        <v>0</v>
      </c>
      <c r="P84" t="str">
        <f t="shared" si="14"/>
        <v>Critical</v>
      </c>
      <c r="Q84" t="str">
        <f t="shared" si="15"/>
        <v>High JavaScript Blocking</v>
      </c>
      <c r="R84" t="str">
        <f t="shared" si="16"/>
        <v>Reduce unused JavaScript, defer scripts, optimize third-party code</v>
      </c>
      <c r="S84">
        <f t="shared" si="17"/>
        <v>1</v>
      </c>
      <c r="T84">
        <f t="shared" si="18"/>
        <v>1</v>
      </c>
      <c r="U84">
        <f t="shared" si="19"/>
        <v>2</v>
      </c>
      <c r="V84">
        <f t="shared" si="20"/>
        <v>1</v>
      </c>
      <c r="W84">
        <f t="shared" si="21"/>
        <v>5</v>
      </c>
      <c r="X84">
        <f t="shared" si="22"/>
        <v>83</v>
      </c>
      <c r="Y84" t="str">
        <f t="shared" si="23"/>
        <v>Routine Optimization</v>
      </c>
    </row>
    <row r="85" spans="1:25">
      <c r="A85" t="str">
        <v>P084</v>
      </c>
      <c r="B85" t="str">
        <f>_xlfn.XLOOKUP(A85,PAGESPEED_RAW[Page_ID],PAGESPEED_RAW[URL])</f>
        <v>https://pmb.widyatama.ac.id/category/science-and-technology/</v>
      </c>
      <c r="C85" t="str">
        <f>_xlfn.XLOOKUP(A85,PAGESPEED_RAW[Page_ID],PAGESPEED_RAW[Final_Page_Type])</f>
        <v>Content Archive</v>
      </c>
      <c r="D85" t="str">
        <f>_xlfn.XLOOKUP(A85,PAGESPEED_RAW[Page_ID],PAGESPEED_RAW[Speed_Test_Segment])</f>
        <v>Core PMB Website</v>
      </c>
      <c r="E85" t="str">
        <f>_xlfn.XLOOKUP(A85,PAGESPEED_RAW[Page_ID],PAGESPEED_RAW[Test_Priority])</f>
        <v>P3 - Standard</v>
      </c>
      <c r="F85">
        <f>AVERAGEIFS(PAGESPEED_RAW[Performance],PAGESPEED_RAW[Page_ID],A85,PAGESPEED_RAW[Device],"mobile")</f>
        <v>56</v>
      </c>
      <c r="G85">
        <f>AVERAGEIFS(PAGESPEED_RAW[Performance],PAGESPEED_RAW[Page_ID],A85,PAGESPEED_RAW[Device],"desktop")</f>
        <v>74</v>
      </c>
      <c r="H85">
        <f t="shared" si="12"/>
        <v>18</v>
      </c>
      <c r="I85" s="14">
        <f>AVERAGEIFS(PAGESPEED_RAW[LCP],PAGESPEED_RAW[Page_ID],A85,PAGESPEED_RAW[Device],"mobile")</f>
        <v>18532.096145792257</v>
      </c>
      <c r="J85" s="14">
        <f>AVERAGEIFS(PAGESPEED_RAW[LCP],PAGESPEED_RAW[Page_ID],A85,PAGESPEED_RAW[Device],"desktop")</f>
        <v>2841.0745611761681</v>
      </c>
      <c r="K85" s="14">
        <f t="shared" si="13"/>
        <v>15691.021584616088</v>
      </c>
      <c r="L85" s="14">
        <f>AVERAGEIFS(PAGESPEED_RAW[FCP],PAGESPEED_RAW[Page_ID],A85,PAGESPEED_RAW[Device],"mobile")</f>
        <v>7351.0371921994738</v>
      </c>
      <c r="M85" s="14">
        <f>AVERAGEIFS(PAGESPEED_RAW[FCP],PAGESPEED_RAW[Page_ID],A85,PAGESPEED_RAW[Device],"desktop")</f>
        <v>1281.0324179026823</v>
      </c>
      <c r="N85" s="14">
        <f>AVERAGEIFS(PAGESPEED_RAW[TBT],PAGESPEED_RAW[Page_ID],A85,PAGESPEED_RAW[Device],"mobile")</f>
        <v>2</v>
      </c>
      <c r="O85" s="15">
        <f>AVERAGEIFS(PAGESPEED_RAW[CLS],PAGESPEED_RAW[Page_ID],A85,PAGESPEED_RAW[Device],"mobile")</f>
        <v>0</v>
      </c>
      <c r="P85" t="str">
        <f t="shared" si="14"/>
        <v>Critical</v>
      </c>
      <c r="Q85" t="str">
        <f t="shared" si="15"/>
        <v>Slow LCP</v>
      </c>
      <c r="R85" t="str">
        <f t="shared" si="16"/>
        <v>Optimize images, reduce render blocking resources, improve server response time</v>
      </c>
      <c r="S85">
        <f t="shared" si="17"/>
        <v>2</v>
      </c>
      <c r="T85">
        <f t="shared" si="18"/>
        <v>3</v>
      </c>
      <c r="U85">
        <f t="shared" si="19"/>
        <v>1</v>
      </c>
      <c r="V85">
        <f t="shared" si="20"/>
        <v>2</v>
      </c>
      <c r="W85">
        <f t="shared" si="21"/>
        <v>8</v>
      </c>
      <c r="X85">
        <f t="shared" si="22"/>
        <v>5</v>
      </c>
      <c r="Y85" t="str">
        <f t="shared" si="23"/>
        <v>Priority Optimization</v>
      </c>
    </row>
    <row r="86" spans="1:25">
      <c r="A86" t="str">
        <v>P085</v>
      </c>
      <c r="B86" t="str">
        <f>_xlfn.XLOOKUP(A86,PAGESPEED_RAW[Page_ID],PAGESPEED_RAW[URL])</f>
        <v>https://pmb.widyatama.ac.id/category/medicine/</v>
      </c>
      <c r="C86" t="str">
        <f>_xlfn.XLOOKUP(A86,PAGESPEED_RAW[Page_ID],PAGESPEED_RAW[Final_Page_Type])</f>
        <v>Content Archive</v>
      </c>
      <c r="D86" t="str">
        <f>_xlfn.XLOOKUP(A86,PAGESPEED_RAW[Page_ID],PAGESPEED_RAW[Speed_Test_Segment])</f>
        <v>Core PMB Website</v>
      </c>
      <c r="E86" t="str">
        <f>_xlfn.XLOOKUP(A86,PAGESPEED_RAW[Page_ID],PAGESPEED_RAW[Test_Priority])</f>
        <v>P3 - Standard</v>
      </c>
      <c r="F86">
        <f>AVERAGEIFS(PAGESPEED_RAW[Performance],PAGESPEED_RAW[Page_ID],A86,PAGESPEED_RAW[Device],"mobile")</f>
        <v>54</v>
      </c>
      <c r="G86">
        <f>AVERAGEIFS(PAGESPEED_RAW[Performance],PAGESPEED_RAW[Page_ID],A86,PAGESPEED_RAW[Device],"desktop")</f>
        <v>75</v>
      </c>
      <c r="H86">
        <f t="shared" si="12"/>
        <v>21</v>
      </c>
      <c r="I86" s="14">
        <f>AVERAGEIFS(PAGESPEED_RAW[LCP],PAGESPEED_RAW[Page_ID],A86,PAGESPEED_RAW[Device],"mobile")</f>
        <v>16351.089124349448</v>
      </c>
      <c r="J86" s="14">
        <f>AVERAGEIFS(PAGESPEED_RAW[LCP],PAGESPEED_RAW[Page_ID],A86,PAGESPEED_RAW[Device],"desktop")</f>
        <v>2721.0527235193422</v>
      </c>
      <c r="K86" s="14">
        <f t="shared" si="13"/>
        <v>13630.036400830106</v>
      </c>
      <c r="L86" s="14">
        <f>AVERAGEIFS(PAGESPEED_RAW[FCP],PAGESPEED_RAW[Page_ID],A86,PAGESPEED_RAW[Device],"mobile")</f>
        <v>6601.0349833895034</v>
      </c>
      <c r="M86" s="14">
        <f>AVERAGEIFS(PAGESPEED_RAW[FCP],PAGESPEED_RAW[Page_ID],A86,PAGESPEED_RAW[Device],"desktop")</f>
        <v>1281.0239652360647</v>
      </c>
      <c r="N86" s="14">
        <f>AVERAGEIFS(PAGESPEED_RAW[TBT],PAGESPEED_RAW[Page_ID],A86,PAGESPEED_RAW[Device],"mobile")</f>
        <v>137</v>
      </c>
      <c r="O86" s="15">
        <f>AVERAGEIFS(PAGESPEED_RAW[CLS],PAGESPEED_RAW[Page_ID],A86,PAGESPEED_RAW[Device],"mobile")</f>
        <v>1.1478553674142699E-3</v>
      </c>
      <c r="P86" t="str">
        <f t="shared" si="14"/>
        <v>Critical</v>
      </c>
      <c r="Q86" t="str">
        <f t="shared" si="15"/>
        <v>Slow LCP</v>
      </c>
      <c r="R86" t="str">
        <f t="shared" si="16"/>
        <v>Optimize images, reduce render blocking resources, improve server response time</v>
      </c>
      <c r="S86">
        <f t="shared" si="17"/>
        <v>2</v>
      </c>
      <c r="T86">
        <f t="shared" si="18"/>
        <v>3</v>
      </c>
      <c r="U86">
        <f t="shared" si="19"/>
        <v>1</v>
      </c>
      <c r="V86">
        <f t="shared" si="20"/>
        <v>2</v>
      </c>
      <c r="W86">
        <f t="shared" si="21"/>
        <v>8</v>
      </c>
      <c r="X86">
        <f t="shared" si="22"/>
        <v>5</v>
      </c>
      <c r="Y86" t="str">
        <f t="shared" si="23"/>
        <v>Priority Optimization</v>
      </c>
    </row>
    <row r="87" spans="1:25">
      <c r="A87" t="str">
        <v>P086</v>
      </c>
      <c r="B87" t="str">
        <f>_xlfn.XLOOKUP(A87,PAGESPEED_RAW[Page_ID],PAGESPEED_RAW[URL])</f>
        <v>https://pmb.widyatama.ac.id/category/law-and-policy/</v>
      </c>
      <c r="C87" t="str">
        <f>_xlfn.XLOOKUP(A87,PAGESPEED_RAW[Page_ID],PAGESPEED_RAW[Final_Page_Type])</f>
        <v>Content Archive</v>
      </c>
      <c r="D87" t="str">
        <f>_xlfn.XLOOKUP(A87,PAGESPEED_RAW[Page_ID],PAGESPEED_RAW[Speed_Test_Segment])</f>
        <v>Core PMB Website</v>
      </c>
      <c r="E87" t="str">
        <f>_xlfn.XLOOKUP(A87,PAGESPEED_RAW[Page_ID],PAGESPEED_RAW[Test_Priority])</f>
        <v>P3 - Standard</v>
      </c>
      <c r="F87">
        <f>AVERAGEIFS(PAGESPEED_RAW[Performance],PAGESPEED_RAW[Page_ID],A87,PAGESPEED_RAW[Device],"mobile")</f>
        <v>56</v>
      </c>
      <c r="G87">
        <f>AVERAGEIFS(PAGESPEED_RAW[Performance],PAGESPEED_RAW[Page_ID],A87,PAGESPEED_RAW[Device],"desktop")</f>
        <v>75</v>
      </c>
      <c r="H87">
        <f t="shared" si="12"/>
        <v>19</v>
      </c>
      <c r="I87" s="14">
        <f>AVERAGEIFS(PAGESPEED_RAW[LCP],PAGESPEED_RAW[Page_ID],A87,PAGESPEED_RAW[Device],"mobile")</f>
        <v>18532.100404837558</v>
      </c>
      <c r="J87" s="14">
        <f>AVERAGEIFS(PAGESPEED_RAW[LCP],PAGESPEED_RAW[Page_ID],A87,PAGESPEED_RAW[Device],"desktop")</f>
        <v>2681.0529926082895</v>
      </c>
      <c r="K87" s="14">
        <f t="shared" si="13"/>
        <v>15851.047412229269</v>
      </c>
      <c r="L87" s="14">
        <f>AVERAGEIFS(PAGESPEED_RAW[FCP],PAGESPEED_RAW[Page_ID],A87,PAGESPEED_RAW[Device],"mobile")</f>
        <v>7351.0388397314018</v>
      </c>
      <c r="M87" s="14">
        <f>AVERAGEIFS(PAGESPEED_RAW[FCP],PAGESPEED_RAW[Page_ID],A87,PAGESPEED_RAW[Device],"desktop")</f>
        <v>1281.0244581269026</v>
      </c>
      <c r="N87" s="14">
        <f>AVERAGEIFS(PAGESPEED_RAW[TBT],PAGESPEED_RAW[Page_ID],A87,PAGESPEED_RAW[Device],"mobile")</f>
        <v>0</v>
      </c>
      <c r="O87" s="15">
        <f>AVERAGEIFS(PAGESPEED_RAW[CLS],PAGESPEED_RAW[Page_ID],A87,PAGESPEED_RAW[Device],"mobile")</f>
        <v>0</v>
      </c>
      <c r="P87" t="str">
        <f t="shared" si="14"/>
        <v>Critical</v>
      </c>
      <c r="Q87" t="str">
        <f t="shared" si="15"/>
        <v>Slow LCP</v>
      </c>
      <c r="R87" t="str">
        <f t="shared" si="16"/>
        <v>Optimize images, reduce render blocking resources, improve server response time</v>
      </c>
      <c r="S87">
        <f t="shared" si="17"/>
        <v>2</v>
      </c>
      <c r="T87">
        <f t="shared" si="18"/>
        <v>3</v>
      </c>
      <c r="U87">
        <f t="shared" si="19"/>
        <v>1</v>
      </c>
      <c r="V87">
        <f t="shared" si="20"/>
        <v>2</v>
      </c>
      <c r="W87">
        <f t="shared" si="21"/>
        <v>8</v>
      </c>
      <c r="X87">
        <f t="shared" si="22"/>
        <v>5</v>
      </c>
      <c r="Y87" t="str">
        <f t="shared" si="23"/>
        <v>Priority Optimization</v>
      </c>
    </row>
    <row r="88" spans="1:25">
      <c r="A88" t="str">
        <v>P087</v>
      </c>
      <c r="B88" t="str">
        <f>_xlfn.XLOOKUP(A88,PAGESPEED_RAW[Page_ID],PAGESPEED_RAW[URL])</f>
        <v>https://pmb.widyatama.ac.id/2025/09/13/</v>
      </c>
      <c r="C88" t="str">
        <f>_xlfn.XLOOKUP(A88,PAGESPEED_RAW[Page_ID],PAGESPEED_RAW[Final_Page_Type])</f>
        <v>Content Review</v>
      </c>
      <c r="D88" t="str">
        <f>_xlfn.XLOOKUP(A88,PAGESPEED_RAW[Page_ID],PAGESPEED_RAW[Speed_Test_Segment])</f>
        <v>Content Audit</v>
      </c>
      <c r="E88" t="str">
        <f>_xlfn.XLOOKUP(A88,PAGESPEED_RAW[Page_ID],PAGESPEED_RAW[Test_Priority])</f>
        <v>P4 - Content Audit</v>
      </c>
      <c r="F88">
        <f>AVERAGEIFS(PAGESPEED_RAW[Performance],PAGESPEED_RAW[Page_ID],A88,PAGESPEED_RAW[Device],"mobile")</f>
        <v>47</v>
      </c>
      <c r="G88">
        <f>AVERAGEIFS(PAGESPEED_RAW[Performance],PAGESPEED_RAW[Page_ID],A88,PAGESPEED_RAW[Device],"desktop")</f>
        <v>74</v>
      </c>
      <c r="H88">
        <f t="shared" si="12"/>
        <v>27</v>
      </c>
      <c r="I88" s="14">
        <f>AVERAGEIFS(PAGESPEED_RAW[LCP],PAGESPEED_RAW[Page_ID],A88,PAGESPEED_RAW[Device],"mobile")</f>
        <v>15901.062268884152</v>
      </c>
      <c r="J88" s="14">
        <f>AVERAGEIFS(PAGESPEED_RAW[LCP],PAGESPEED_RAW[Page_ID],A88,PAGESPEED_RAW[Device],"desktop")</f>
        <v>2801.0407225631238</v>
      </c>
      <c r="K88" s="14">
        <f t="shared" si="13"/>
        <v>13100.021546321028</v>
      </c>
      <c r="L88" s="14">
        <f>AVERAGEIFS(PAGESPEED_RAW[FCP],PAGESPEED_RAW[Page_ID],A88,PAGESPEED_RAW[Device],"mobile")</f>
        <v>6301.0239495708283</v>
      </c>
      <c r="M88" s="14">
        <f>AVERAGEIFS(PAGESPEED_RAW[FCP],PAGESPEED_RAW[Page_ID],A88,PAGESPEED_RAW[Device],"desktop")</f>
        <v>1281.0179658366719</v>
      </c>
      <c r="N88" s="14">
        <f>AVERAGEIFS(PAGESPEED_RAW[TBT],PAGESPEED_RAW[Page_ID],A88,PAGESPEED_RAW[Device],"mobile")</f>
        <v>25</v>
      </c>
      <c r="O88" s="15">
        <f>AVERAGEIFS(PAGESPEED_RAW[CLS],PAGESPEED_RAW[Page_ID],A88,PAGESPEED_RAW[Device],"mobile")</f>
        <v>0.18953298544724939</v>
      </c>
      <c r="P88" t="str">
        <f t="shared" si="14"/>
        <v>Critical</v>
      </c>
      <c r="Q88" t="str">
        <f t="shared" si="15"/>
        <v>Slow LCP</v>
      </c>
      <c r="R88" t="str">
        <f t="shared" si="16"/>
        <v>Optimize images, reduce render blocking resources, improve server response time</v>
      </c>
      <c r="S88">
        <f t="shared" si="17"/>
        <v>3</v>
      </c>
      <c r="T88">
        <f t="shared" si="18"/>
        <v>3</v>
      </c>
      <c r="U88">
        <f t="shared" si="19"/>
        <v>1</v>
      </c>
      <c r="V88">
        <f t="shared" si="20"/>
        <v>3</v>
      </c>
      <c r="W88">
        <f t="shared" si="21"/>
        <v>10</v>
      </c>
      <c r="X88">
        <f t="shared" si="22"/>
        <v>1</v>
      </c>
      <c r="Y88" t="str">
        <f t="shared" si="23"/>
        <v>Immediate Optimization</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E1AD-EBFA-48A3-AF01-4099217CF07C}">
  <dimension ref="A1:H21"/>
  <sheetViews>
    <sheetView zoomScale="70" zoomScaleNormal="70" workbookViewId="0">
      <selection activeCell="V19" sqref="V19"/>
    </sheetView>
  </sheetViews>
  <sheetFormatPr defaultRowHeight="14.4"/>
  <cols>
    <col min="1" max="1" width="19.5546875" bestFit="1" customWidth="1"/>
    <col min="4" max="4" width="17.77734375" bestFit="1" customWidth="1"/>
  </cols>
  <sheetData>
    <row r="1" spans="1:8">
      <c r="A1" t="s">
        <v>1274</v>
      </c>
      <c r="B1" t="s">
        <v>1275</v>
      </c>
    </row>
    <row r="2" spans="1:8">
      <c r="A2" t="s">
        <v>1276</v>
      </c>
      <c r="B2">
        <f>COUNTA(PAGESPEED_ANALYSIS_BASELINE!A2:A88)</f>
        <v>87</v>
      </c>
    </row>
    <row r="3" spans="1:8">
      <c r="A3" t="s">
        <v>1277</v>
      </c>
      <c r="B3">
        <f>COUNTIF(PAGESPEED_ANALYSIS_BASELINE!Y2:Y88,"Immediate Optimization")</f>
        <v>2</v>
      </c>
    </row>
    <row r="4" spans="1:8">
      <c r="A4" t="s">
        <v>1278</v>
      </c>
      <c r="B4">
        <f>COUNTIF(PAGESPEED_ANALYSIS_BASELINE!Y2:Y88,"Priority Optimization")</f>
        <v>76</v>
      </c>
    </row>
    <row r="5" spans="1:8">
      <c r="A5" t="s">
        <v>1279</v>
      </c>
      <c r="B5">
        <f>AVERAGE(PAGESPEED_ANALYSIS_BASELINE!F2:F88)</f>
        <v>59.321839080459768</v>
      </c>
    </row>
    <row r="6" spans="1:8">
      <c r="A6" t="s">
        <v>1280</v>
      </c>
      <c r="B6">
        <f>AVERAGE(PAGESPEED_ANALYSIS_BASELINE!G2:G88)</f>
        <v>75.540229885057471</v>
      </c>
    </row>
    <row r="7" spans="1:8">
      <c r="A7" t="s">
        <v>1281</v>
      </c>
      <c r="B7" s="14">
        <f>AVERAGE(PAGESPEED_ANALYSIS_BASELINE!I2:I88)</f>
        <v>21993.840924044987</v>
      </c>
    </row>
    <row r="10" spans="1:8" ht="63" customHeight="1">
      <c r="A10" s="16" t="s">
        <v>1282</v>
      </c>
      <c r="B10" s="17"/>
      <c r="C10" s="17"/>
      <c r="D10" s="17"/>
      <c r="E10" s="17"/>
      <c r="F10" s="17"/>
    </row>
    <row r="12" spans="1:8">
      <c r="A12" t="s">
        <v>882</v>
      </c>
      <c r="B12" t="s">
        <v>1285</v>
      </c>
      <c r="D12" t="s">
        <v>1289</v>
      </c>
      <c r="E12" t="s">
        <v>1290</v>
      </c>
      <c r="F12" t="s">
        <v>1068</v>
      </c>
      <c r="G12" t="s">
        <v>1073</v>
      </c>
      <c r="H12" t="s">
        <v>1092</v>
      </c>
    </row>
    <row r="13" spans="1:8">
      <c r="A13" t="s">
        <v>1283</v>
      </c>
      <c r="B13">
        <f>B5</f>
        <v>59.321839080459768</v>
      </c>
    </row>
    <row r="14" spans="1:8">
      <c r="A14" t="s">
        <v>1284</v>
      </c>
      <c r="B14">
        <f>B6</f>
        <v>75.540229885057471</v>
      </c>
    </row>
    <row r="17" spans="1:5">
      <c r="A17" t="s">
        <v>1286</v>
      </c>
      <c r="B17" t="s">
        <v>1287</v>
      </c>
      <c r="D17" t="s">
        <v>675</v>
      </c>
      <c r="E17" t="s">
        <v>1294</v>
      </c>
    </row>
    <row r="18" spans="1:5">
      <c r="A18" t="s">
        <v>1291</v>
      </c>
      <c r="B18">
        <f>COUNTIF(PAGESPEED_ANALYSIS_BASELINE!Y:Y,"Immediate Optimization")</f>
        <v>2</v>
      </c>
      <c r="D18" t="s">
        <v>1295</v>
      </c>
      <c r="E18">
        <f>COUNTIF(PAGESPEED_ANALYSIS_BASELINE!I2:I88,"&lt;2500")</f>
        <v>8</v>
      </c>
    </row>
    <row r="19" spans="1:5">
      <c r="A19" t="s">
        <v>1292</v>
      </c>
      <c r="B19">
        <f>COUNTIF(PAGESPEED_ANALYSIS_BASELINE!Y:Y,"Priority Optimization")</f>
        <v>76</v>
      </c>
      <c r="D19" t="s">
        <v>1296</v>
      </c>
      <c r="E19">
        <f>COUNTIFS(PAGESPEED_ANALYSIS_BASELINE!I2:I88,"&gt;=2500",PAGESPEED_ANALYSIS_BASELINE!I2:I88,"&lt;=4000")</f>
        <v>1</v>
      </c>
    </row>
    <row r="20" spans="1:5">
      <c r="A20" t="s">
        <v>1293</v>
      </c>
      <c r="B20">
        <f>COUNTIF(PAGESPEED_ANALYSIS_BASELINE!Y:Y,"Monitor")</f>
        <v>0</v>
      </c>
      <c r="D20" t="s">
        <v>1297</v>
      </c>
      <c r="E20">
        <f>COUNTIF(PAGESPEED_ANALYSIS_BASELINE!I2:I88,"&gt;4000")</f>
        <v>78</v>
      </c>
    </row>
    <row r="21" spans="1:5">
      <c r="A21" t="s">
        <v>1288</v>
      </c>
      <c r="B21">
        <f>COUNTIF(PAGESPEED_ANALYSIS_BASELINE!Y:Y,"Good")</f>
        <v>0</v>
      </c>
    </row>
  </sheetData>
  <mergeCells count="1">
    <mergeCell ref="A10:F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38AD-A819-47F6-BF16-44FD402B7C8B}">
  <dimension ref="A1:K44"/>
  <sheetViews>
    <sheetView tabSelected="1" topLeftCell="C4" workbookViewId="0">
      <selection activeCell="F6" sqref="F6"/>
    </sheetView>
  </sheetViews>
  <sheetFormatPr defaultRowHeight="14.4"/>
  <cols>
    <col min="2" max="2" width="67.21875" bestFit="1" customWidth="1"/>
    <col min="3" max="3" width="16.77734375" bestFit="1" customWidth="1"/>
    <col min="11" max="11" width="16.44140625" bestFit="1" customWidth="1"/>
  </cols>
  <sheetData>
    <row r="1" spans="1:11">
      <c r="A1" t="s">
        <v>734</v>
      </c>
      <c r="B1" t="s">
        <v>709</v>
      </c>
      <c r="C1" t="s">
        <v>739</v>
      </c>
      <c r="D1" t="s">
        <v>742</v>
      </c>
      <c r="E1" t="s">
        <v>1080</v>
      </c>
      <c r="F1" t="s">
        <v>1083</v>
      </c>
      <c r="G1" t="s">
        <v>1271</v>
      </c>
      <c r="H1" t="s">
        <v>1272</v>
      </c>
      <c r="I1" t="s">
        <v>1298</v>
      </c>
      <c r="J1" t="s">
        <v>1299</v>
      </c>
      <c r="K1" t="s">
        <v>1300</v>
      </c>
    </row>
    <row r="2" spans="1:11">
      <c r="A2" t="str" cm="1">
        <f t="array" ref="A2:A44">_xlfn._xlws.FILTER(PAGESPEED_ANALYSIS_BASELINE!A2:A88,PAGESPEED_ANALYSIS_BASELINE!X2:X88&lt;=20)</f>
        <v>P006</v>
      </c>
      <c r="B2" t="str" cm="1">
        <f t="array" ref="B2:B44">_xlfn.XLOOKUP(_xlfn.ANCHORARRAY(A2),PAGESPEED_ANALYSIS_BASELINE!A2:A88,PAGESPEED_ANALYSIS_BASELINE!B2:B88)</f>
        <v>https://pmb.widyatama.ac.id/biaya-kuliah-pascasarjana/</v>
      </c>
      <c r="C2" t="str" cm="1">
        <f t="array" ref="C2:C44">_xlfn.XLOOKUP(_xlfn.ANCHORARRAY(A2),PAGESPEED_ANALYSIS_BASELINE!A2:A88,PAGESPEED_ANALYSIS_BASELINE!C2:C88)</f>
        <v>Pricing</v>
      </c>
      <c r="D2" t="str" cm="1">
        <f t="array" ref="D2:D44">_xlfn.XLOOKUP(_xlfn.ANCHORARRAY(A2),PAGESPEED_ANALYSIS_BASELINE!A2:A88,PAGESPEED_ANALYSIS_BASELINE!E2:E88)</f>
        <v>P1 - Critical</v>
      </c>
      <c r="E2" cm="1">
        <f t="array" ref="E2:E44">_xlfn.XLOOKUP(_xlfn.ANCHORARRAY(A2),PAGESPEED_ANALYSIS_BASELINE!A2:A88,PAGESPEED_ANALYSIS_BASELINE!F2:F88)</f>
        <v>57</v>
      </c>
      <c r="F2" cm="1">
        <f t="array" ref="F2:F44">_xlfn.XLOOKUP(_xlfn.ANCHORARRAY(A2),PAGESPEED_ANALYSIS_BASELINE!A2:A88,PAGESPEED_ANALYSIS_BASELINE!I2:I88)</f>
        <v>15021.058662795178</v>
      </c>
      <c r="G2" cm="1">
        <f t="array" ref="G2:G44">_xlfn.XLOOKUP(_xlfn.ANCHORARRAY(A2),PAGESPEED_ANALYSIS_BASELINE!A2:A88,PAGESPEED_ANALYSIS_BASELINE!W2:W88)</f>
        <v>8</v>
      </c>
      <c r="H2" cm="1">
        <f t="array" ref="H2:H44">_xlfn.XLOOKUP(_xlfn.ANCHORARRAY(A2),PAGESPEED_ANALYSIS_BASELINE!A2:A88,PAGESPEED_ANALYSIS_BASELINE!X2:X88)</f>
        <v>5</v>
      </c>
      <c r="I2" cm="1">
        <f t="array" ref="I2">_xlfn.SWITCH(
C2,
"Homepage",5,
"Admission",5,
"Pricing",5,
"Program",5,
"Campaign",5,
"Registration System",5,
"International",4,
"Information",3,
"Campus Life",3,
"Content",2,
"Content Archive",2,
"Policy",1,
"Content Review",1,
3
)</f>
        <v>5</v>
      </c>
      <c r="J2">
        <f>G2*I2</f>
        <v>40</v>
      </c>
      <c r="K2" t="s">
        <v>1301</v>
      </c>
    </row>
    <row r="3" spans="1:11">
      <c r="A3" t="str">
        <v>P010</v>
      </c>
      <c r="B3" t="str">
        <v>https://pmb.widyatama.ac.id/program-rpl/</v>
      </c>
      <c r="C3" t="str">
        <v>Program</v>
      </c>
      <c r="D3" t="str">
        <v>P1 - Critical</v>
      </c>
      <c r="E3">
        <v>57</v>
      </c>
      <c r="F3">
        <v>18625.046512833273</v>
      </c>
      <c r="G3">
        <v>8</v>
      </c>
      <c r="H3">
        <v>5</v>
      </c>
      <c r="I3" cm="1">
        <f t="array" ref="I3">_xlfn.SWITCH(
C3,
"Homepage",5,
"Admission",5,
"Pricing",5,
"Program",5,
"Campaign",5,
"Registration System",5,
"International",4,
"Information",3,
"Campus Life",3,
"Content",2,
"Content Archive",2,
"Policy",1,
"Content Review",1,
3
)</f>
        <v>5</v>
      </c>
      <c r="J3">
        <f t="shared" ref="J3:J44" si="0">G3*I3</f>
        <v>40</v>
      </c>
      <c r="K3" t="s">
        <v>1301</v>
      </c>
    </row>
    <row r="4" spans="1:11">
      <c r="A4" t="str">
        <v>P011</v>
      </c>
      <c r="B4" t="str">
        <v>https://pmb.widyatama.ac.id/biaya-kuliah-kelas-karyawan/</v>
      </c>
      <c r="C4" t="str">
        <v>Pricing</v>
      </c>
      <c r="D4" t="str">
        <v>P1 - Critical</v>
      </c>
      <c r="E4">
        <v>57</v>
      </c>
      <c r="F4">
        <v>15032.530493463997</v>
      </c>
      <c r="G4">
        <v>8</v>
      </c>
      <c r="H4">
        <v>5</v>
      </c>
      <c r="I4" cm="1">
        <f t="array" ref="I4">_xlfn.SWITCH(
C4,
"Homepage",5,
"Admission",5,
"Pricing",5,
"Program",5,
"Campaign",5,
"Registration System",5,
"International",4,
"Information",3,
"Campus Life",3,
"Content",2,
"Content Archive",2,
"Policy",1,
"Content Review",1,
3
)</f>
        <v>5</v>
      </c>
      <c r="J4">
        <f t="shared" si="0"/>
        <v>40</v>
      </c>
      <c r="K4" t="s">
        <v>1301</v>
      </c>
    </row>
    <row r="5" spans="1:11">
      <c r="A5" t="str">
        <v>P012</v>
      </c>
      <c r="B5" t="str">
        <v>https://pmb.widyatama.ac.id/jurusan/</v>
      </c>
      <c r="C5" t="str">
        <v>Program</v>
      </c>
      <c r="D5" t="str">
        <v>P1 - Critical</v>
      </c>
      <c r="E5">
        <v>57</v>
      </c>
      <c r="F5">
        <v>76222.392206839228</v>
      </c>
      <c r="G5">
        <v>8</v>
      </c>
      <c r="H5">
        <v>5</v>
      </c>
      <c r="I5" cm="1">
        <f t="array" ref="I5">_xlfn.SWITCH(
C5,
"Homepage",5,
"Admission",5,
"Pricing",5,
"Program",5,
"Campaign",5,
"Registration System",5,
"International",4,
"Information",3,
"Campus Life",3,
"Content",2,
"Content Archive",2,
"Policy",1,
"Content Review",1,
3
)</f>
        <v>5</v>
      </c>
      <c r="J5">
        <f t="shared" si="0"/>
        <v>40</v>
      </c>
      <c r="K5" t="s">
        <v>1301</v>
      </c>
    </row>
    <row r="6" spans="1:11">
      <c r="A6" t="str">
        <v>P013</v>
      </c>
      <c r="B6" t="str">
        <v>https://pmb.widyatama.ac.id/blog/</v>
      </c>
      <c r="C6" t="str">
        <v>Content</v>
      </c>
      <c r="D6" t="str">
        <v>P3 - Standard</v>
      </c>
      <c r="E6">
        <v>56</v>
      </c>
      <c r="F6">
        <v>18233.10020793002</v>
      </c>
      <c r="G6">
        <v>8</v>
      </c>
      <c r="H6">
        <v>5</v>
      </c>
      <c r="I6" cm="1">
        <f t="array" ref="I6">_xlfn.SWITCH(
C6,
"Homepage",5,
"Admission",5,
"Pricing",5,
"Program",5,
"Campaign",5,
"Registration System",5,
"International",4,
"Information",3,
"Campus Life",3,
"Content",2,
"Content Archive",2,
"Policy",1,
"Content Review",1,
3
)</f>
        <v>2</v>
      </c>
      <c r="J6">
        <f t="shared" si="0"/>
        <v>16</v>
      </c>
      <c r="K6" t="s">
        <v>1301</v>
      </c>
    </row>
    <row r="7" spans="1:11">
      <c r="A7" t="str">
        <v>P014</v>
      </c>
      <c r="B7" t="str">
        <v>https://pmb.widyatama.ac.id/biaya-kuliah-kelas-reguler/</v>
      </c>
      <c r="C7" t="str">
        <v>Pricing</v>
      </c>
      <c r="D7" t="str">
        <v>P1 - Critical</v>
      </c>
      <c r="E7">
        <v>57</v>
      </c>
      <c r="F7">
        <v>15020.040745094633</v>
      </c>
      <c r="G7">
        <v>8</v>
      </c>
      <c r="H7">
        <v>5</v>
      </c>
      <c r="I7" cm="1">
        <f t="array" ref="I7">_xlfn.SWITCH(
C7,
"Homepage",5,
"Admission",5,
"Pricing",5,
"Program",5,
"Campaign",5,
"Registration System",5,
"International",4,
"Information",3,
"Campus Life",3,
"Content",2,
"Content Archive",2,
"Policy",1,
"Content Review",1,
3
)</f>
        <v>5</v>
      </c>
      <c r="J7">
        <f t="shared" si="0"/>
        <v>40</v>
      </c>
      <c r="K7" t="s">
        <v>1301</v>
      </c>
    </row>
    <row r="8" spans="1:11">
      <c r="A8" t="str">
        <v>P016</v>
      </c>
      <c r="B8" t="str">
        <v>https://pmb.widyatama.ac.id/aktivitas-civitas/</v>
      </c>
      <c r="C8" t="str">
        <v>Campus Life</v>
      </c>
      <c r="D8" t="str">
        <v>P2 - High</v>
      </c>
      <c r="E8">
        <v>56</v>
      </c>
      <c r="F8">
        <v>19742.111271683159</v>
      </c>
      <c r="G8">
        <v>8</v>
      </c>
      <c r="H8">
        <v>5</v>
      </c>
      <c r="I8" cm="1">
        <f t="array" ref="I8">_xlfn.SWITCH(
C8,
"Homepage",5,
"Admission",5,
"Pricing",5,
"Program",5,
"Campaign",5,
"Registration System",5,
"International",4,
"Information",3,
"Campus Life",3,
"Content",2,
"Content Archive",2,
"Policy",1,
"Content Review",1,
3
)</f>
        <v>3</v>
      </c>
      <c r="J8">
        <f t="shared" si="0"/>
        <v>24</v>
      </c>
      <c r="K8" t="s">
        <v>1301</v>
      </c>
    </row>
    <row r="9" spans="1:11">
      <c r="A9" t="str">
        <v>P018</v>
      </c>
      <c r="B9" t="str">
        <v>https://pmb.widyatama.ac.id/cek-jalur-pendaftaran/</v>
      </c>
      <c r="C9" t="str">
        <v>Admission</v>
      </c>
      <c r="D9" t="str">
        <v>P1 - Critical</v>
      </c>
      <c r="E9">
        <v>58</v>
      </c>
      <c r="F9">
        <v>8958.524316926545</v>
      </c>
      <c r="G9">
        <v>8</v>
      </c>
      <c r="H9">
        <v>5</v>
      </c>
      <c r="I9" cm="1">
        <f t="array" ref="I9">_xlfn.SWITCH(
C9,
"Homepage",5,
"Admission",5,
"Pricing",5,
"Program",5,
"Campaign",5,
"Registration System",5,
"International",4,
"Information",3,
"Campus Life",3,
"Content",2,
"Content Archive",2,
"Policy",1,
"Content Review",1,
3
)</f>
        <v>5</v>
      </c>
      <c r="J9">
        <f t="shared" si="0"/>
        <v>40</v>
      </c>
      <c r="K9" t="s">
        <v>1301</v>
      </c>
    </row>
    <row r="10" spans="1:11">
      <c r="A10" t="str">
        <v>P019</v>
      </c>
      <c r="B10" t="str">
        <v>https://pmb.widyatama.ac.id/program-reguler/</v>
      </c>
      <c r="C10" t="str">
        <v>Program</v>
      </c>
      <c r="D10" t="str">
        <v>P1 - Critical</v>
      </c>
      <c r="E10">
        <v>57</v>
      </c>
      <c r="F10">
        <v>17356.576910499745</v>
      </c>
      <c r="G10">
        <v>8</v>
      </c>
      <c r="H10">
        <v>5</v>
      </c>
      <c r="I10" cm="1">
        <f t="array" ref="I10">_xlfn.SWITCH(
C10,
"Homepage",5,
"Admission",5,
"Pricing",5,
"Program",5,
"Campaign",5,
"Registration System",5,
"International",4,
"Information",3,
"Campus Life",3,
"Content",2,
"Content Archive",2,
"Policy",1,
"Content Review",1,
3
)</f>
        <v>5</v>
      </c>
      <c r="J10">
        <f t="shared" si="0"/>
        <v>40</v>
      </c>
      <c r="K10" t="s">
        <v>1301</v>
      </c>
    </row>
    <row r="11" spans="1:11">
      <c r="A11" t="str">
        <v>P020</v>
      </c>
      <c r="B11" t="str">
        <v>https://pmb.widyatama.ac.id/program-kelas-karyawan/</v>
      </c>
      <c r="C11" t="str">
        <v>Program</v>
      </c>
      <c r="D11" t="str">
        <v>P1 - Critical</v>
      </c>
      <c r="E11">
        <v>57</v>
      </c>
      <c r="F11">
        <v>15322.559682861611</v>
      </c>
      <c r="G11">
        <v>8</v>
      </c>
      <c r="H11">
        <v>5</v>
      </c>
      <c r="I11" cm="1">
        <f t="array" ref="I11">_xlfn.SWITCH(
C11,
"Homepage",5,
"Admission",5,
"Pricing",5,
"Program",5,
"Campaign",5,
"Registration System",5,
"International",4,
"Information",3,
"Campus Life",3,
"Content",2,
"Content Archive",2,
"Policy",1,
"Content Review",1,
3
)</f>
        <v>5</v>
      </c>
      <c r="J11">
        <f t="shared" si="0"/>
        <v>40</v>
      </c>
      <c r="K11" t="s">
        <v>1301</v>
      </c>
    </row>
    <row r="12" spans="1:11">
      <c r="A12" t="str">
        <v>P021</v>
      </c>
      <c r="B12" t="str">
        <v>https://pmb.widyatama.ac.id/fasilitas/</v>
      </c>
      <c r="C12" t="str">
        <v>Campus Life</v>
      </c>
      <c r="D12" t="str">
        <v>P2 - High</v>
      </c>
      <c r="E12">
        <v>58</v>
      </c>
      <c r="F12">
        <v>69447.714275052422</v>
      </c>
      <c r="G12">
        <v>9</v>
      </c>
      <c r="H12">
        <v>3</v>
      </c>
      <c r="I12" cm="1">
        <f t="array" ref="I12">_xlfn.SWITCH(
C12,
"Homepage",5,
"Admission",5,
"Pricing",5,
"Program",5,
"Campaign",5,
"Registration System",5,
"International",4,
"Information",3,
"Campus Life",3,
"Content",2,
"Content Archive",2,
"Policy",1,
"Content Review",1,
3
)</f>
        <v>3</v>
      </c>
      <c r="J12">
        <f t="shared" si="0"/>
        <v>27</v>
      </c>
      <c r="K12" t="s">
        <v>1301</v>
      </c>
    </row>
    <row r="13" spans="1:11">
      <c r="A13" t="str">
        <v>P023</v>
      </c>
      <c r="B13" t="str">
        <v>https://pmb.widyatama.ac.id/biaya-kuliah-rpl/</v>
      </c>
      <c r="C13" t="str">
        <v>Pricing</v>
      </c>
      <c r="D13" t="str">
        <v>P1 - Critical</v>
      </c>
      <c r="E13">
        <v>57</v>
      </c>
      <c r="F13">
        <v>15034.513193137507</v>
      </c>
      <c r="G13">
        <v>8</v>
      </c>
      <c r="H13">
        <v>5</v>
      </c>
      <c r="I13" cm="1">
        <f t="array" ref="I13">_xlfn.SWITCH(
C13,
"Homepage",5,
"Admission",5,
"Pricing",5,
"Program",5,
"Campaign",5,
"Registration System",5,
"International",4,
"Information",3,
"Campus Life",3,
"Content",2,
"Content Archive",2,
"Policy",1,
"Content Review",1,
3
)</f>
        <v>5</v>
      </c>
      <c r="J13">
        <f t="shared" si="0"/>
        <v>40</v>
      </c>
      <c r="K13" t="s">
        <v>1301</v>
      </c>
    </row>
    <row r="14" spans="1:11">
      <c r="A14" t="str">
        <v>P024</v>
      </c>
      <c r="B14" t="str">
        <v>https://pmb.widyatama.ac.id/apresiasi-prestasi-mahasiswa/</v>
      </c>
      <c r="C14" t="str">
        <v>Campus Life</v>
      </c>
      <c r="D14" t="str">
        <v>P2 - High</v>
      </c>
      <c r="E14">
        <v>58</v>
      </c>
      <c r="F14">
        <v>11946.055029726273</v>
      </c>
      <c r="G14">
        <v>8</v>
      </c>
      <c r="H14">
        <v>5</v>
      </c>
      <c r="I14" cm="1">
        <f t="array" ref="I14">_xlfn.SWITCH(
C14,
"Homepage",5,
"Admission",5,
"Pricing",5,
"Program",5,
"Campaign",5,
"Registration System",5,
"International",4,
"Information",3,
"Campus Life",3,
"Content",2,
"Content Archive",2,
"Policy",1,
"Content Review",1,
3
)</f>
        <v>3</v>
      </c>
      <c r="J14">
        <f t="shared" si="0"/>
        <v>24</v>
      </c>
      <c r="K14" t="s">
        <v>1301</v>
      </c>
    </row>
    <row r="15" spans="1:11">
      <c r="A15" t="str">
        <v>P025</v>
      </c>
      <c r="B15" t="str">
        <v>https://pmb.widyatama.ac.id/asuransi-mahasiswa/</v>
      </c>
      <c r="C15" t="str">
        <v>Campus Life</v>
      </c>
      <c r="D15" t="str">
        <v>P2 - High</v>
      </c>
      <c r="E15">
        <v>45</v>
      </c>
      <c r="F15">
        <v>13501.087522596972</v>
      </c>
      <c r="G15">
        <v>10</v>
      </c>
      <c r="H15">
        <v>1</v>
      </c>
      <c r="I15" cm="1">
        <f t="array" ref="I15">_xlfn.SWITCH(
C15,
"Homepage",5,
"Admission",5,
"Pricing",5,
"Program",5,
"Campaign",5,
"Registration System",5,
"International",4,
"Information",3,
"Campus Life",3,
"Content",2,
"Content Archive",2,
"Policy",1,
"Content Review",1,
3
)</f>
        <v>3</v>
      </c>
      <c r="J15">
        <f t="shared" si="0"/>
        <v>30</v>
      </c>
      <c r="K15" t="s">
        <v>1301</v>
      </c>
    </row>
    <row r="16" spans="1:11">
      <c r="A16" t="str">
        <v>P026</v>
      </c>
      <c r="B16" t="str">
        <v>https://pmb.widyatama.ac.id/organisasi-kemahasiswaan/</v>
      </c>
      <c r="C16" t="str">
        <v>Campus Life</v>
      </c>
      <c r="D16" t="str">
        <v>P2 - High</v>
      </c>
      <c r="E16">
        <v>55</v>
      </c>
      <c r="F16">
        <v>18924.07585951902</v>
      </c>
      <c r="G16">
        <v>8</v>
      </c>
      <c r="H16">
        <v>5</v>
      </c>
      <c r="I16" cm="1">
        <f t="array" ref="I16">_xlfn.SWITCH(
C16,
"Homepage",5,
"Admission",5,
"Pricing",5,
"Program",5,
"Campaign",5,
"Registration System",5,
"International",4,
"Information",3,
"Campus Life",3,
"Content",2,
"Content Archive",2,
"Policy",1,
"Content Review",1,
3
)</f>
        <v>3</v>
      </c>
      <c r="J16">
        <f t="shared" si="0"/>
        <v>24</v>
      </c>
      <c r="K16" t="s">
        <v>1301</v>
      </c>
    </row>
    <row r="17" spans="1:11">
      <c r="A17" t="str">
        <v>P027</v>
      </c>
      <c r="B17" t="str">
        <v>https://pmb.widyatama.ac.id/jalur-seleksi-unggulan/</v>
      </c>
      <c r="C17" t="str">
        <v>Admission</v>
      </c>
      <c r="D17" t="str">
        <v>P1 - Critical</v>
      </c>
      <c r="E17">
        <v>57</v>
      </c>
      <c r="F17">
        <v>18855.582913932441</v>
      </c>
      <c r="G17">
        <v>8</v>
      </c>
      <c r="H17">
        <v>5</v>
      </c>
      <c r="I17" cm="1">
        <f t="array" ref="I17">_xlfn.SWITCH(
C17,
"Homepage",5,
"Admission",5,
"Pricing",5,
"Program",5,
"Campaign",5,
"Registration System",5,
"International",4,
"Information",3,
"Campus Life",3,
"Content",2,
"Content Archive",2,
"Policy",1,
"Content Review",1,
3
)</f>
        <v>5</v>
      </c>
      <c r="J17">
        <f t="shared" si="0"/>
        <v>40</v>
      </c>
      <c r="K17" t="s">
        <v>1301</v>
      </c>
    </row>
    <row r="18" spans="1:11">
      <c r="A18" t="str">
        <v>P029</v>
      </c>
      <c r="B18" t="str">
        <v>https://pmb.widyatama.ac.id/jalur-pasca-reguler-maksi/</v>
      </c>
      <c r="C18" t="str">
        <v>Admission</v>
      </c>
      <c r="D18" t="str">
        <v>P1 - Critical</v>
      </c>
      <c r="E18">
        <v>58</v>
      </c>
      <c r="F18">
        <v>16001.047497377893</v>
      </c>
      <c r="G18">
        <v>8</v>
      </c>
      <c r="H18">
        <v>5</v>
      </c>
      <c r="I18" cm="1">
        <f t="array" ref="I18">_xlfn.SWITCH(
C18,
"Homepage",5,
"Admission",5,
"Pricing",5,
"Program",5,
"Campaign",5,
"Registration System",5,
"International",4,
"Information",3,
"Campus Life",3,
"Content",2,
"Content Archive",2,
"Policy",1,
"Content Review",1,
3
)</f>
        <v>5</v>
      </c>
      <c r="J18">
        <f t="shared" si="0"/>
        <v>40</v>
      </c>
      <c r="K18" t="s">
        <v>1301</v>
      </c>
    </row>
    <row r="19" spans="1:11">
      <c r="A19" t="str">
        <v>P031</v>
      </c>
      <c r="B19" t="str">
        <v>https://pmb.widyatama.ac.id/jalur-seleksi-mandiri/</v>
      </c>
      <c r="C19" t="str">
        <v>Admission</v>
      </c>
      <c r="D19" t="str">
        <v>P1 - Critical</v>
      </c>
      <c r="E19">
        <v>58</v>
      </c>
      <c r="F19">
        <v>15301.085725283978</v>
      </c>
      <c r="G19">
        <v>8</v>
      </c>
      <c r="H19">
        <v>5</v>
      </c>
      <c r="I19" cm="1">
        <f t="array" ref="I19">_xlfn.SWITCH(
C19,
"Homepage",5,
"Admission",5,
"Pricing",5,
"Program",5,
"Campaign",5,
"Registration System",5,
"International",4,
"Information",3,
"Campus Life",3,
"Content",2,
"Content Archive",2,
"Policy",1,
"Content Review",1,
3
)</f>
        <v>5</v>
      </c>
      <c r="J19">
        <f t="shared" si="0"/>
        <v>40</v>
      </c>
      <c r="K19" t="s">
        <v>1301</v>
      </c>
    </row>
    <row r="20" spans="1:11">
      <c r="A20" t="str">
        <v>P032</v>
      </c>
      <c r="B20" t="str">
        <v>https://pmb.widyatama.ac.id/jalur-seleksi-pmdk/</v>
      </c>
      <c r="C20" t="str">
        <v>Admission</v>
      </c>
      <c r="D20" t="str">
        <v>P1 - Critical</v>
      </c>
      <c r="E20">
        <v>57</v>
      </c>
      <c r="F20">
        <v>19595.59325346681</v>
      </c>
      <c r="G20">
        <v>8</v>
      </c>
      <c r="H20">
        <v>5</v>
      </c>
      <c r="I20" cm="1">
        <f t="array" ref="I20">_xlfn.SWITCH(
C20,
"Homepage",5,
"Admission",5,
"Pricing",5,
"Program",5,
"Campaign",5,
"Registration System",5,
"International",4,
"Information",3,
"Campus Life",3,
"Content",2,
"Content Archive",2,
"Policy",1,
"Content Review",1,
3
)</f>
        <v>5</v>
      </c>
      <c r="J20">
        <f t="shared" si="0"/>
        <v>40</v>
      </c>
      <c r="K20" t="s">
        <v>1301</v>
      </c>
    </row>
    <row r="21" spans="1:11">
      <c r="A21" t="str">
        <v>P033</v>
      </c>
      <c r="B21" t="str">
        <v>https://pmb.widyatama.ac.id/jalur-seleksi-utama/</v>
      </c>
      <c r="C21" t="str">
        <v>Admission</v>
      </c>
      <c r="D21" t="str">
        <v>P1 - Critical</v>
      </c>
      <c r="E21">
        <v>59</v>
      </c>
      <c r="F21">
        <v>17101.072139361786</v>
      </c>
      <c r="G21">
        <v>8</v>
      </c>
      <c r="H21">
        <v>5</v>
      </c>
      <c r="I21" cm="1">
        <f t="array" ref="I21">_xlfn.SWITCH(
C21,
"Homepage",5,
"Admission",5,
"Pricing",5,
"Program",5,
"Campaign",5,
"Registration System",5,
"International",4,
"Information",3,
"Campus Life",3,
"Content",2,
"Content Archive",2,
"Policy",1,
"Content Review",1,
3
)</f>
        <v>5</v>
      </c>
      <c r="J21">
        <f t="shared" si="0"/>
        <v>40</v>
      </c>
      <c r="K21" t="s">
        <v>1301</v>
      </c>
    </row>
    <row r="22" spans="1:11">
      <c r="A22" t="str">
        <v>P034</v>
      </c>
      <c r="B22" t="str">
        <v>https://pmb.widyatama.ac.id/jalur-doktoral-reguler/</v>
      </c>
      <c r="C22" t="str">
        <v>Admission</v>
      </c>
      <c r="D22" t="str">
        <v>P1 - Critical</v>
      </c>
      <c r="E22">
        <v>59</v>
      </c>
      <c r="F22">
        <v>15901.072989273216</v>
      </c>
      <c r="G22">
        <v>8</v>
      </c>
      <c r="H22">
        <v>5</v>
      </c>
      <c r="I22" cm="1">
        <f t="array" ref="I22">_xlfn.SWITCH(
C22,
"Homepage",5,
"Admission",5,
"Pricing",5,
"Program",5,
"Campaign",5,
"Registration System",5,
"International",4,
"Information",3,
"Campus Life",3,
"Content",2,
"Content Archive",2,
"Policy",1,
"Content Review",1,
3
)</f>
        <v>5</v>
      </c>
      <c r="J22">
        <f t="shared" si="0"/>
        <v>40</v>
      </c>
      <c r="K22" t="s">
        <v>1301</v>
      </c>
    </row>
    <row r="23" spans="1:11">
      <c r="A23" t="str">
        <v>P036</v>
      </c>
      <c r="B23" t="str">
        <v>https://pmb.widyatama.ac.id/jalur-seleksi-khusus/</v>
      </c>
      <c r="C23" t="str">
        <v>Admission</v>
      </c>
      <c r="D23" t="str">
        <v>P1 - Critical</v>
      </c>
      <c r="E23">
        <v>57</v>
      </c>
      <c r="F23">
        <v>18181.55073299896</v>
      </c>
      <c r="G23">
        <v>8</v>
      </c>
      <c r="H23">
        <v>5</v>
      </c>
      <c r="I23" cm="1">
        <f t="array" ref="I23">_xlfn.SWITCH(
C23,
"Homepage",5,
"Admission",5,
"Pricing",5,
"Program",5,
"Campaign",5,
"Registration System",5,
"International",4,
"Information",3,
"Campus Life",3,
"Content",2,
"Content Archive",2,
"Policy",1,
"Content Review",1,
3
)</f>
        <v>5</v>
      </c>
      <c r="J23">
        <f t="shared" si="0"/>
        <v>40</v>
      </c>
      <c r="K23" t="s">
        <v>1301</v>
      </c>
    </row>
    <row r="24" spans="1:11">
      <c r="A24" t="str">
        <v>P037</v>
      </c>
      <c r="B24" t="str">
        <v>https://pmb.widyatama.ac.id/jalur-seleksi-prioritas/</v>
      </c>
      <c r="C24" t="str">
        <v>Admission</v>
      </c>
      <c r="D24" t="str">
        <v>P1 - Critical</v>
      </c>
      <c r="E24">
        <v>54</v>
      </c>
      <c r="F24">
        <v>13398.072347391575</v>
      </c>
      <c r="G24">
        <v>8</v>
      </c>
      <c r="H24">
        <v>5</v>
      </c>
      <c r="I24" cm="1">
        <f t="array" ref="I24">_xlfn.SWITCH(
C24,
"Homepage",5,
"Admission",5,
"Pricing",5,
"Program",5,
"Campaign",5,
"Registration System",5,
"International",4,
"Information",3,
"Campus Life",3,
"Content",2,
"Content Archive",2,
"Policy",1,
"Content Review",1,
3
)</f>
        <v>5</v>
      </c>
      <c r="J24">
        <f t="shared" si="0"/>
        <v>40</v>
      </c>
      <c r="K24" t="s">
        <v>1301</v>
      </c>
    </row>
    <row r="25" spans="1:11">
      <c r="A25" t="str">
        <v>P042</v>
      </c>
      <c r="B25" t="str">
        <v>https://pmb.widyatama.ac.id/aktivitas-civitas/2/</v>
      </c>
      <c r="C25" t="str">
        <v>Campus Life</v>
      </c>
      <c r="D25" t="str">
        <v>P2 - High</v>
      </c>
      <c r="E25">
        <v>58</v>
      </c>
      <c r="F25">
        <v>16201.088185322487</v>
      </c>
      <c r="G25">
        <v>8</v>
      </c>
      <c r="H25">
        <v>5</v>
      </c>
      <c r="I25" cm="1">
        <f t="array" ref="I25">_xlfn.SWITCH(
C25,
"Homepage",5,
"Admission",5,
"Pricing",5,
"Program",5,
"Campaign",5,
"Registration System",5,
"International",4,
"Information",3,
"Campus Life",3,
"Content",2,
"Content Archive",2,
"Policy",1,
"Content Review",1,
3
)</f>
        <v>3</v>
      </c>
      <c r="J25">
        <f t="shared" si="0"/>
        <v>24</v>
      </c>
      <c r="K25" t="s">
        <v>1301</v>
      </c>
    </row>
    <row r="26" spans="1:11">
      <c r="A26" t="str">
        <v>P045</v>
      </c>
      <c r="B26" t="str">
        <v>https://pmb.widyatama.ac.id/2025/09/19/</v>
      </c>
      <c r="C26" t="str">
        <v>Content Review</v>
      </c>
      <c r="D26" t="str">
        <v>P4 - Content Audit</v>
      </c>
      <c r="E26">
        <v>56</v>
      </c>
      <c r="F26">
        <v>16051.108862632724</v>
      </c>
      <c r="G26">
        <v>8</v>
      </c>
      <c r="H26">
        <v>5</v>
      </c>
      <c r="I26" cm="1">
        <f t="array" ref="I26">_xlfn.SWITCH(
C26,
"Homepage",5,
"Admission",5,
"Pricing",5,
"Program",5,
"Campaign",5,
"Registration System",5,
"International",4,
"Information",3,
"Campus Life",3,
"Content",2,
"Content Archive",2,
"Policy",1,
"Content Review",1,
3
)</f>
        <v>1</v>
      </c>
      <c r="J26">
        <f t="shared" si="0"/>
        <v>8</v>
      </c>
      <c r="K26" t="s">
        <v>1301</v>
      </c>
    </row>
    <row r="27" spans="1:11">
      <c r="A27" t="str">
        <v>P054</v>
      </c>
      <c r="B27" t="str">
        <v>https://pmb.widyatama.ac.id/program-studi/doktor-ilmu-manajemen/</v>
      </c>
      <c r="C27" t="str">
        <v>Program</v>
      </c>
      <c r="D27" t="str">
        <v>P1 - Critical</v>
      </c>
      <c r="E27">
        <v>57</v>
      </c>
      <c r="F27">
        <v>17701.090049580365</v>
      </c>
      <c r="G27">
        <v>8</v>
      </c>
      <c r="H27">
        <v>5</v>
      </c>
      <c r="I27" cm="1">
        <f t="array" ref="I27">_xlfn.SWITCH(
C27,
"Homepage",5,
"Admission",5,
"Pricing",5,
"Program",5,
"Campaign",5,
"Registration System",5,
"International",4,
"Information",3,
"Campus Life",3,
"Content",2,
"Content Archive",2,
"Policy",1,
"Content Review",1,
3
)</f>
        <v>5</v>
      </c>
      <c r="J27">
        <f t="shared" si="0"/>
        <v>40</v>
      </c>
      <c r="K27" t="s">
        <v>1301</v>
      </c>
    </row>
    <row r="28" spans="1:11">
      <c r="A28" t="str">
        <v>P055</v>
      </c>
      <c r="B28" t="str">
        <v>https://pmb.widyatama.ac.id/program-studi/program-profesi-akuntansi/</v>
      </c>
      <c r="C28" t="str">
        <v>Program</v>
      </c>
      <c r="D28" t="str">
        <v>P1 - Critical</v>
      </c>
      <c r="E28">
        <v>56</v>
      </c>
      <c r="F28">
        <v>18008.700723310692</v>
      </c>
      <c r="G28">
        <v>8</v>
      </c>
      <c r="H28">
        <v>5</v>
      </c>
      <c r="I28" cm="1">
        <f t="array" ref="I28">_xlfn.SWITCH(
C28,
"Homepage",5,
"Admission",5,
"Pricing",5,
"Program",5,
"Campaign",5,
"Registration System",5,
"International",4,
"Information",3,
"Campus Life",3,
"Content",2,
"Content Archive",2,
"Policy",1,
"Content Review",1,
3
)</f>
        <v>5</v>
      </c>
      <c r="J28">
        <f t="shared" si="0"/>
        <v>40</v>
      </c>
      <c r="K28" t="s">
        <v>1301</v>
      </c>
    </row>
    <row r="29" spans="1:11">
      <c r="A29" t="str">
        <v>P056</v>
      </c>
      <c r="B29" t="str">
        <v>https://pmb.widyatama.ac.id/program-studi/magister-akuntansi/</v>
      </c>
      <c r="C29" t="str">
        <v>Program</v>
      </c>
      <c r="D29" t="str">
        <v>P1 - Critical</v>
      </c>
      <c r="E29">
        <v>57</v>
      </c>
      <c r="F29">
        <v>17101.08828587268</v>
      </c>
      <c r="G29">
        <v>8</v>
      </c>
      <c r="H29">
        <v>5</v>
      </c>
      <c r="I29" cm="1">
        <f t="array" ref="I29">_xlfn.SWITCH(
C29,
"Homepage",5,
"Admission",5,
"Pricing",5,
"Program",5,
"Campaign",5,
"Registration System",5,
"International",4,
"Information",3,
"Campus Life",3,
"Content",2,
"Content Archive",2,
"Policy",1,
"Content Review",1,
3
)</f>
        <v>5</v>
      </c>
      <c r="J29">
        <f t="shared" si="0"/>
        <v>40</v>
      </c>
      <c r="K29" t="s">
        <v>1301</v>
      </c>
    </row>
    <row r="30" spans="1:11">
      <c r="A30" t="str">
        <v>P060</v>
      </c>
      <c r="B30" t="str">
        <v>https://pmb.widyatama.ac.id/jalur-seleksi-mahasiswa-asing-international/</v>
      </c>
      <c r="C30" t="str">
        <v>Admission</v>
      </c>
      <c r="D30" t="str">
        <v>P1 - Critical</v>
      </c>
      <c r="E30">
        <v>59</v>
      </c>
      <c r="F30">
        <v>15451.046310406602</v>
      </c>
      <c r="G30">
        <v>8</v>
      </c>
      <c r="H30">
        <v>5</v>
      </c>
      <c r="I30" cm="1">
        <f t="array" ref="I30">_xlfn.SWITCH(
C30,
"Homepage",5,
"Admission",5,
"Pricing",5,
"Program",5,
"Campaign",5,
"Registration System",5,
"International",4,
"Information",3,
"Campus Life",3,
"Content",2,
"Content Archive",2,
"Policy",1,
"Content Review",1,
3
)</f>
        <v>5</v>
      </c>
      <c r="J30">
        <f t="shared" si="0"/>
        <v>40</v>
      </c>
      <c r="K30" t="s">
        <v>1301</v>
      </c>
    </row>
    <row r="31" spans="1:11">
      <c r="A31" t="str">
        <v>P061</v>
      </c>
      <c r="B31" t="str">
        <v>https://pmb.widyatama.ac.id/program-studi/teknik-mesin-s1/</v>
      </c>
      <c r="C31" t="str">
        <v>Program</v>
      </c>
      <c r="D31" t="str">
        <v>P1 - Critical</v>
      </c>
      <c r="E31">
        <v>57</v>
      </c>
      <c r="F31">
        <v>19576.13135596256</v>
      </c>
      <c r="G31">
        <v>8</v>
      </c>
      <c r="H31">
        <v>5</v>
      </c>
      <c r="I31" cm="1">
        <f t="array" ref="I31">_xlfn.SWITCH(
C31,
"Homepage",5,
"Admission",5,
"Pricing",5,
"Program",5,
"Campaign",5,
"Registration System",5,
"International",4,
"Information",3,
"Campus Life",3,
"Content",2,
"Content Archive",2,
"Policy",1,
"Content Review",1,
3
)</f>
        <v>5</v>
      </c>
      <c r="J31">
        <f t="shared" si="0"/>
        <v>40</v>
      </c>
      <c r="K31" t="s">
        <v>1301</v>
      </c>
    </row>
    <row r="32" spans="1:11">
      <c r="A32" t="str">
        <v>P063</v>
      </c>
      <c r="B32" t="str">
        <v>https://pmb.widyatama.ac.id/program-studi/bahasa-jepang-s1/</v>
      </c>
      <c r="C32" t="str">
        <v>Program</v>
      </c>
      <c r="D32" t="str">
        <v>P1 - Critical</v>
      </c>
      <c r="E32">
        <v>57</v>
      </c>
      <c r="F32">
        <v>20626.106506767581</v>
      </c>
      <c r="G32">
        <v>8</v>
      </c>
      <c r="H32">
        <v>5</v>
      </c>
      <c r="I32" cm="1">
        <f t="array" ref="I32">_xlfn.SWITCH(
C32,
"Homepage",5,
"Admission",5,
"Pricing",5,
"Program",5,
"Campaign",5,
"Registration System",5,
"International",4,
"Information",3,
"Campus Life",3,
"Content",2,
"Content Archive",2,
"Policy",1,
"Content Review",1,
3
)</f>
        <v>5</v>
      </c>
      <c r="J32">
        <f t="shared" si="0"/>
        <v>40</v>
      </c>
      <c r="K32" t="s">
        <v>1301</v>
      </c>
    </row>
    <row r="33" spans="1:11">
      <c r="A33" t="str">
        <v>P069</v>
      </c>
      <c r="B33" t="str">
        <v>https://pmb.widyatama.ac.id/program-studi/teknik-industri-s1/</v>
      </c>
      <c r="C33" t="str">
        <v>Program</v>
      </c>
      <c r="D33" t="str">
        <v>P1 - Critical</v>
      </c>
      <c r="E33">
        <v>57</v>
      </c>
      <c r="F33">
        <v>21526.094681773873</v>
      </c>
      <c r="G33">
        <v>8</v>
      </c>
      <c r="H33">
        <v>5</v>
      </c>
      <c r="I33" cm="1">
        <f t="array" ref="I33">_xlfn.SWITCH(
C33,
"Homepage",5,
"Admission",5,
"Pricing",5,
"Program",5,
"Campaign",5,
"Registration System",5,
"International",4,
"Information",3,
"Campus Life",3,
"Content",2,
"Content Archive",2,
"Policy",1,
"Content Review",1,
3
)</f>
        <v>5</v>
      </c>
      <c r="J33">
        <f t="shared" si="0"/>
        <v>40</v>
      </c>
      <c r="K33" t="s">
        <v>1301</v>
      </c>
    </row>
    <row r="34" spans="1:11">
      <c r="A34" t="str">
        <v>P071</v>
      </c>
      <c r="B34" t="str">
        <v>https://pmb.widyatama.ac.id/program-studi/sistem-informasi-s1/</v>
      </c>
      <c r="C34" t="str">
        <v>Program</v>
      </c>
      <c r="D34" t="str">
        <v>P1 - Critical</v>
      </c>
      <c r="E34">
        <v>50</v>
      </c>
      <c r="F34">
        <v>19801.133185104336</v>
      </c>
      <c r="G34">
        <v>8</v>
      </c>
      <c r="H34">
        <v>5</v>
      </c>
      <c r="I34" cm="1">
        <f t="array" ref="I34">_xlfn.SWITCH(
C34,
"Homepage",5,
"Admission",5,
"Pricing",5,
"Program",5,
"Campaign",5,
"Registration System",5,
"International",4,
"Information",3,
"Campus Life",3,
"Content",2,
"Content Archive",2,
"Policy",1,
"Content Review",1,
3
)</f>
        <v>5</v>
      </c>
      <c r="J34">
        <f t="shared" si="0"/>
        <v>40</v>
      </c>
      <c r="K34" t="s">
        <v>1301</v>
      </c>
    </row>
    <row r="35" spans="1:11">
      <c r="A35" t="str">
        <v>P072</v>
      </c>
      <c r="B35" t="str">
        <v>https://pmb.widyatama.ac.id/program-studi/teknik-informatika-s1/</v>
      </c>
      <c r="C35" t="str">
        <v>Program</v>
      </c>
      <c r="D35" t="str">
        <v>P1 - Critical</v>
      </c>
      <c r="E35">
        <v>57</v>
      </c>
      <c r="F35">
        <v>20401.081051726476</v>
      </c>
      <c r="G35">
        <v>8</v>
      </c>
      <c r="H35">
        <v>5</v>
      </c>
      <c r="I35" cm="1">
        <f t="array" ref="I35">_xlfn.SWITCH(
C35,
"Homepage",5,
"Admission",5,
"Pricing",5,
"Program",5,
"Campaign",5,
"Registration System",5,
"International",4,
"Information",3,
"Campus Life",3,
"Content",2,
"Content Archive",2,
"Policy",1,
"Content Review",1,
3
)</f>
        <v>5</v>
      </c>
      <c r="J35">
        <f t="shared" si="0"/>
        <v>40</v>
      </c>
      <c r="K35" t="s">
        <v>1301</v>
      </c>
    </row>
    <row r="36" spans="1:11">
      <c r="A36" t="str">
        <v>P073</v>
      </c>
      <c r="B36" t="str">
        <v>https://pmb.widyatama.ac.id/program-studi/akuntansi-s1/</v>
      </c>
      <c r="C36" t="str">
        <v>Program</v>
      </c>
      <c r="D36" t="str">
        <v>P1 - Critical</v>
      </c>
      <c r="E36">
        <v>57</v>
      </c>
      <c r="F36">
        <v>22201.09634132807</v>
      </c>
      <c r="G36">
        <v>8</v>
      </c>
      <c r="H36">
        <v>5</v>
      </c>
      <c r="I36" cm="1">
        <f t="array" ref="I36">_xlfn.SWITCH(
C36,
"Homepage",5,
"Admission",5,
"Pricing",5,
"Program",5,
"Campaign",5,
"Registration System",5,
"International",4,
"Information",3,
"Campus Life",3,
"Content",2,
"Content Archive",2,
"Policy",1,
"Content Review",1,
3
)</f>
        <v>5</v>
      </c>
      <c r="J36">
        <f t="shared" si="0"/>
        <v>40</v>
      </c>
      <c r="K36" t="s">
        <v>1301</v>
      </c>
    </row>
    <row r="37" spans="1:11">
      <c r="A37" t="str">
        <v>P074</v>
      </c>
      <c r="B37" t="str">
        <v>https://pmb.widyatama.ac.id/program-studi/creative-business-management-d3/</v>
      </c>
      <c r="C37" t="str">
        <v>Program</v>
      </c>
      <c r="D37" t="str">
        <v>P1 - Critical</v>
      </c>
      <c r="E37">
        <v>57</v>
      </c>
      <c r="F37">
        <v>22651.082829396215</v>
      </c>
      <c r="G37">
        <v>8</v>
      </c>
      <c r="H37">
        <v>5</v>
      </c>
      <c r="I37" cm="1">
        <f t="array" ref="I37">_xlfn.SWITCH(
C37,
"Homepage",5,
"Admission",5,
"Pricing",5,
"Program",5,
"Campaign",5,
"Registration System",5,
"International",4,
"Information",3,
"Campus Life",3,
"Content",2,
"Content Archive",2,
"Policy",1,
"Content Review",1,
3
)</f>
        <v>5</v>
      </c>
      <c r="J37">
        <f t="shared" si="0"/>
        <v>40</v>
      </c>
      <c r="K37" t="s">
        <v>1301</v>
      </c>
    </row>
    <row r="38" spans="1:11">
      <c r="A38" t="str">
        <v>P075</v>
      </c>
      <c r="B38" t="str">
        <v>https://pmb.widyatama.ac.id/program-studi/film-and-television-production-d4/</v>
      </c>
      <c r="C38" t="str">
        <v>Program</v>
      </c>
      <c r="D38" t="str">
        <v>P1 - Critical</v>
      </c>
      <c r="E38">
        <v>57</v>
      </c>
      <c r="F38">
        <v>20476.132031888032</v>
      </c>
      <c r="G38">
        <v>8</v>
      </c>
      <c r="H38">
        <v>5</v>
      </c>
      <c r="I38" cm="1">
        <f t="array" ref="I38">_xlfn.SWITCH(
C38,
"Homepage",5,
"Admission",5,
"Pricing",5,
"Program",5,
"Campaign",5,
"Registration System",5,
"International",4,
"Information",3,
"Campus Life",3,
"Content",2,
"Content Archive",2,
"Policy",1,
"Content Review",1,
3
)</f>
        <v>5</v>
      </c>
      <c r="J38">
        <f t="shared" si="0"/>
        <v>40</v>
      </c>
      <c r="K38" t="s">
        <v>1301</v>
      </c>
    </row>
    <row r="39" spans="1:11">
      <c r="A39" t="str">
        <v>P081</v>
      </c>
      <c r="B39" t="str">
        <v>https://online.pmb.widyatama.ac.id/hasil</v>
      </c>
      <c r="C39" t="str">
        <v>Registration System</v>
      </c>
      <c r="D39" t="str">
        <v>P1 - Critical</v>
      </c>
      <c r="E39">
        <v>58</v>
      </c>
      <c r="F39">
        <v>9364.4496864251778</v>
      </c>
      <c r="G39">
        <v>8</v>
      </c>
      <c r="H39">
        <v>5</v>
      </c>
      <c r="I39" cm="1">
        <f t="array" ref="I39">_xlfn.SWITCH(
C39,
"Homepage",5,
"Admission",5,
"Pricing",5,
"Program",5,
"Campaign",5,
"Registration System",5,
"International",4,
"Information",3,
"Campus Life",3,
"Content",2,
"Content Archive",2,
"Policy",1,
"Content Review",1,
3
)</f>
        <v>5</v>
      </c>
      <c r="J39">
        <f t="shared" si="0"/>
        <v>40</v>
      </c>
      <c r="K39" t="s">
        <v>1301</v>
      </c>
    </row>
    <row r="40" spans="1:11">
      <c r="A40" t="str">
        <v>P082</v>
      </c>
      <c r="B40" t="str">
        <v>https://pmb.widyatama.ac.id/program-studi/interactive-multimedia-d3/</v>
      </c>
      <c r="C40" t="str">
        <v>Program</v>
      </c>
      <c r="D40" t="str">
        <v>P1 - Critical</v>
      </c>
      <c r="E40">
        <v>52</v>
      </c>
      <c r="F40">
        <v>25599.163204979421</v>
      </c>
      <c r="G40">
        <v>9</v>
      </c>
      <c r="H40">
        <v>3</v>
      </c>
      <c r="I40" cm="1">
        <f t="array" ref="I40">_xlfn.SWITCH(
C40,
"Homepage",5,
"Admission",5,
"Pricing",5,
"Program",5,
"Campaign",5,
"Registration System",5,
"International",4,
"Information",3,
"Campus Life",3,
"Content",2,
"Content Archive",2,
"Policy",1,
"Content Review",1,
3
)</f>
        <v>5</v>
      </c>
      <c r="J40">
        <f t="shared" si="0"/>
        <v>45</v>
      </c>
      <c r="K40" t="s">
        <v>1301</v>
      </c>
    </row>
    <row r="41" spans="1:11">
      <c r="A41" t="str">
        <v>P084</v>
      </c>
      <c r="B41" t="str">
        <v>https://pmb.widyatama.ac.id/category/science-and-technology/</v>
      </c>
      <c r="C41" t="str">
        <v>Content Archive</v>
      </c>
      <c r="D41" t="str">
        <v>P3 - Standard</v>
      </c>
      <c r="E41">
        <v>56</v>
      </c>
      <c r="F41">
        <v>18532.096145792257</v>
      </c>
      <c r="G41">
        <v>8</v>
      </c>
      <c r="H41">
        <v>5</v>
      </c>
      <c r="I41" cm="1">
        <f t="array" ref="I41">_xlfn.SWITCH(
C41,
"Homepage",5,
"Admission",5,
"Pricing",5,
"Program",5,
"Campaign",5,
"Registration System",5,
"International",4,
"Information",3,
"Campus Life",3,
"Content",2,
"Content Archive",2,
"Policy",1,
"Content Review",1,
3
)</f>
        <v>2</v>
      </c>
      <c r="J41">
        <f t="shared" si="0"/>
        <v>16</v>
      </c>
      <c r="K41" t="s">
        <v>1301</v>
      </c>
    </row>
    <row r="42" spans="1:11">
      <c r="A42" t="str">
        <v>P085</v>
      </c>
      <c r="B42" t="str">
        <v>https://pmb.widyatama.ac.id/category/medicine/</v>
      </c>
      <c r="C42" t="str">
        <v>Content Archive</v>
      </c>
      <c r="D42" t="str">
        <v>P3 - Standard</v>
      </c>
      <c r="E42">
        <v>54</v>
      </c>
      <c r="F42">
        <v>16351.089124349448</v>
      </c>
      <c r="G42">
        <v>8</v>
      </c>
      <c r="H42">
        <v>5</v>
      </c>
      <c r="I42" cm="1">
        <f t="array" ref="I42">_xlfn.SWITCH(
C42,
"Homepage",5,
"Admission",5,
"Pricing",5,
"Program",5,
"Campaign",5,
"Registration System",5,
"International",4,
"Information",3,
"Campus Life",3,
"Content",2,
"Content Archive",2,
"Policy",1,
"Content Review",1,
3
)</f>
        <v>2</v>
      </c>
      <c r="J42">
        <f t="shared" si="0"/>
        <v>16</v>
      </c>
      <c r="K42" t="s">
        <v>1301</v>
      </c>
    </row>
    <row r="43" spans="1:11">
      <c r="A43" t="str">
        <v>P086</v>
      </c>
      <c r="B43" t="str">
        <v>https://pmb.widyatama.ac.id/category/law-and-policy/</v>
      </c>
      <c r="C43" t="str">
        <v>Content Archive</v>
      </c>
      <c r="D43" t="str">
        <v>P3 - Standard</v>
      </c>
      <c r="E43">
        <v>56</v>
      </c>
      <c r="F43">
        <v>18532.100404837558</v>
      </c>
      <c r="G43">
        <v>8</v>
      </c>
      <c r="H43">
        <v>5</v>
      </c>
      <c r="I43" cm="1">
        <f t="array" ref="I43">_xlfn.SWITCH(
C43,
"Homepage",5,
"Admission",5,
"Pricing",5,
"Program",5,
"Campaign",5,
"Registration System",5,
"International",4,
"Information",3,
"Campus Life",3,
"Content",2,
"Content Archive",2,
"Policy",1,
"Content Review",1,
3
)</f>
        <v>2</v>
      </c>
      <c r="J43">
        <f t="shared" si="0"/>
        <v>16</v>
      </c>
      <c r="K43" t="s">
        <v>1301</v>
      </c>
    </row>
    <row r="44" spans="1:11">
      <c r="A44" t="str">
        <v>P087</v>
      </c>
      <c r="B44" t="str">
        <v>https://pmb.widyatama.ac.id/2025/09/13/</v>
      </c>
      <c r="C44" t="str">
        <v>Content Review</v>
      </c>
      <c r="D44" t="str">
        <v>P4 - Content Audit</v>
      </c>
      <c r="E44">
        <v>47</v>
      </c>
      <c r="F44">
        <v>15901.062268884152</v>
      </c>
      <c r="G44">
        <v>10</v>
      </c>
      <c r="H44">
        <v>1</v>
      </c>
      <c r="I44" cm="1">
        <f t="array" ref="I44">_xlfn.SWITCH(
C44,
"Homepage",5,
"Admission",5,
"Pricing",5,
"Program",5,
"Campaign",5,
"Registration System",5,
"International",4,
"Information",3,
"Campus Life",3,
"Content",2,
"Content Archive",2,
"Policy",1,
"Content Review",1,
3
)</f>
        <v>1</v>
      </c>
      <c r="J44">
        <f t="shared" si="0"/>
        <v>10</v>
      </c>
      <c r="K44" t="s">
        <v>1301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8EA545-6E4F-4CD9-827C-3193B5BA14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RAW_CRAWL</vt:lpstr>
      <vt:lpstr>DATA_PROFILE</vt:lpstr>
      <vt:lpstr>CALC_HELPER</vt:lpstr>
      <vt:lpstr>DASHBOARD_EXCEL</vt:lpstr>
      <vt:lpstr>PAGE_INVENTORY</vt:lpstr>
      <vt:lpstr>FINAL_PAGE_INVENTORY</vt:lpstr>
      <vt:lpstr>BASELINE_PAGE_INVENTORY</vt:lpstr>
      <vt:lpstr>PAGESPEED_INPUT</vt:lpstr>
      <vt:lpstr>PAGESPEED_INPUT_STATIC</vt:lpstr>
      <vt:lpstr>PAGESPEED_RAW</vt:lpstr>
      <vt:lpstr>PAGESPEED_ANALYSIS_BASELINE</vt:lpstr>
      <vt:lpstr>WEBSITE_PERFORMANCE_DASHBOARD</vt:lpstr>
      <vt:lpstr>ROOT_CAUSE_TARGETS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Fuja Fajrian</dc:creator>
  <cp:lastModifiedBy>Fuja Fajrian</cp:lastModifiedBy>
  <dcterms:created xsi:type="dcterms:W3CDTF">2026-08-15T10:39:33Z</dcterms:created>
  <dcterms:modified xsi:type="dcterms:W3CDTF">2026-09-02T05:22:16Z</dcterms:modified>
</cp:coreProperties>
</file>